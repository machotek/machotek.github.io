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80610A8E-5010-04F8-B4C4-4C4527662162}"/>
  <workbookPr codeName="ThisWorkbook"/>
  <mc:AlternateContent xmlns:mc="http://schemas.openxmlformats.org/markup-compatibility/2006">
    <mc:Choice Requires="x15">
      <x15ac:absPath xmlns:x15ac="http://schemas.microsoft.com/office/spreadsheetml/2010/11/ac" url="G:\My Drive\TECH FORMS\CAL_PM TEMPLATE\Calibration Template\"/>
    </mc:Choice>
  </mc:AlternateContent>
  <xr:revisionPtr revIDLastSave="0" documentId="13_ncr:1_{AFD9BCC4-9A41-46E2-B830-0443125A5D57}" xr6:coauthVersionLast="47" xr6:coauthVersionMax="47" xr10:uidLastSave="{00000000-0000-0000-0000-000000000000}"/>
  <bookViews>
    <workbookView xWindow="-108" yWindow="-108" windowWidth="23256" windowHeight="12456" xr2:uid="{00000000-000D-0000-FFFF-FFFF00000000}"/>
  </bookViews>
  <sheets>
    <sheet name="ICHROMA II" sheetId="7" r:id="rId1"/>
    <sheet name="Sheet1" sheetId="2" r:id="rId2"/>
  </sheets>
  <definedNames>
    <definedName name="RS" localSheetId="0">'ICHROMA II'!#REF!</definedName>
    <definedName name="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 i="7" l="1"/>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51" i="7"/>
  <c r="A46" i="7" l="1"/>
  <c r="I5" i="7"/>
  <c r="A45" i="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TechNoob4</author>
  </authors>
  <commentList>
    <comment ref="C5" authorId="0" shapeId="0" xr:uid="{00000000-0006-0000-0000-000001000000}">
      <text>
        <r>
          <rPr>
            <b/>
            <sz val="20"/>
            <color indexed="81"/>
            <rFont val="Tahoma"/>
            <family val="2"/>
          </rPr>
          <t xml:space="preserve">CERT NUMBER </t>
        </r>
      </text>
    </comment>
    <comment ref="J5" authorId="0" shapeId="0" xr:uid="{00000000-0006-0000-0000-000002000000}">
      <text>
        <r>
          <rPr>
            <b/>
            <sz val="18"/>
            <color indexed="81"/>
            <rFont val="Tahoma"/>
            <family val="2"/>
          </rPr>
          <t>Date Here!</t>
        </r>
      </text>
    </comment>
    <comment ref="C30" authorId="0" shapeId="0" xr:uid="{00000000-0006-0000-0000-000003000000}">
      <text>
        <r>
          <rPr>
            <b/>
            <sz val="9"/>
            <color indexed="81"/>
            <rFont val="Tahoma"/>
            <family val="2"/>
          </rPr>
          <t>Pass or Fail</t>
        </r>
      </text>
    </comment>
    <comment ref="I30" authorId="0" shapeId="0" xr:uid="{00000000-0006-0000-0000-000004000000}">
      <text>
        <r>
          <rPr>
            <b/>
            <sz val="9"/>
            <color indexed="81"/>
            <rFont val="Tahoma"/>
            <family val="2"/>
          </rPr>
          <t>Pass or Fail</t>
        </r>
      </text>
    </comment>
    <comment ref="C31" authorId="0" shapeId="0" xr:uid="{00000000-0006-0000-0000-000005000000}">
      <text>
        <r>
          <rPr>
            <b/>
            <sz val="18"/>
            <color indexed="81"/>
            <rFont val="Tahoma"/>
            <family val="2"/>
          </rPr>
          <t>REMARKS!</t>
        </r>
      </text>
    </comment>
  </commentList>
</comments>
</file>

<file path=xl/sharedStrings.xml><?xml version="1.0" encoding="utf-8"?>
<sst xmlns="http://schemas.openxmlformats.org/spreadsheetml/2006/main" count="116" uniqueCount="73">
  <si>
    <t>Equipment:</t>
  </si>
  <si>
    <t>Model:</t>
  </si>
  <si>
    <t>Serial Number:</t>
  </si>
  <si>
    <t>Distributor:</t>
  </si>
  <si>
    <t>Address:</t>
  </si>
  <si>
    <t>Contact Number:</t>
  </si>
  <si>
    <t>Calibration Date:</t>
  </si>
  <si>
    <t>Calibration Due:</t>
  </si>
  <si>
    <t>Technical Manager</t>
  </si>
  <si>
    <t>Room Temperature:</t>
  </si>
  <si>
    <t>Relative Humidity:</t>
  </si>
  <si>
    <t>Method(s):</t>
  </si>
  <si>
    <t>Manufacturer:</t>
  </si>
  <si>
    <t>Performed at:</t>
  </si>
  <si>
    <t>Company Name:</t>
  </si>
  <si>
    <t>Tel#: (033) 508 0208 / (033) 333 1769, Fax#: (033) 508 0208</t>
  </si>
  <si>
    <t>As received:</t>
  </si>
  <si>
    <t>As Released:</t>
  </si>
  <si>
    <t>Procedure(s):</t>
  </si>
  <si>
    <t>Conditions/Analysis:</t>
  </si>
  <si>
    <t>Altamedica Incorporated</t>
  </si>
  <si>
    <t>Remarks</t>
  </si>
  <si>
    <r>
      <rPr>
        <b/>
        <sz val="18"/>
        <color rgb="FF0B2469"/>
        <rFont val="Arial Black"/>
        <family val="2"/>
      </rPr>
      <t>A L T A M E D I C A  I N C O R P O R A T E D</t>
    </r>
    <r>
      <rPr>
        <b/>
        <sz val="11"/>
        <color rgb="FF0B2469"/>
        <rFont val="Arial Black"/>
        <family val="2"/>
      </rPr>
      <t xml:space="preserve">
</t>
    </r>
    <r>
      <rPr>
        <b/>
        <i/>
        <sz val="10"/>
        <color rgb="FF0B2469"/>
        <rFont val="Lucida Handwriting"/>
        <family val="4"/>
      </rPr>
      <t>Medical Products You Can Trust!</t>
    </r>
  </si>
  <si>
    <t>Performed by:</t>
  </si>
  <si>
    <t>Customer:</t>
  </si>
  <si>
    <t>Test Condition:</t>
  </si>
  <si>
    <t>Methods and Materials:</t>
  </si>
  <si>
    <t>Calibration Result:</t>
  </si>
  <si>
    <t>Certificate Number:</t>
  </si>
  <si>
    <t>Manufacture Date:</t>
  </si>
  <si>
    <t>Equipment Type:</t>
  </si>
  <si>
    <t>Pass</t>
  </si>
  <si>
    <t xml:space="preserve">This report may not be reproduced, except in full, without the written approval of the Technical Manager. The results reported herein apply only to the validation of the item described above, and no limitations of use apply to the validated unit. Although the validated item meets the specifications and performance at the time of validation, due to any number of factors, the recommended due date of the item validated does not imply continuing confidence to specifications during the recommended interval.
</t>
  </si>
  <si>
    <t>Materials:</t>
  </si>
  <si>
    <t>199R Dicen Street, Bantud, Lapaz, Iloilo City</t>
  </si>
  <si>
    <t>Test</t>
  </si>
  <si>
    <t>Result</t>
  </si>
  <si>
    <t>Target</t>
  </si>
  <si>
    <t>SD</t>
  </si>
  <si>
    <t>All parameters passed. QC has passed.</t>
  </si>
  <si>
    <t>CALIBRATION DATA</t>
  </si>
  <si>
    <t>CERTIFICATE OF CALIBRATION</t>
  </si>
  <si>
    <t>Reflectance Photometer</t>
  </si>
  <si>
    <t xml:space="preserve">AS300 Work Instruction User Manual </t>
  </si>
  <si>
    <t>Calibration Strips</t>
  </si>
  <si>
    <t>Description</t>
  </si>
  <si>
    <t>Serial Number / Lot Number</t>
  </si>
  <si>
    <t>Expiry</t>
  </si>
  <si>
    <t>N/A</t>
  </si>
  <si>
    <t>pH</t>
  </si>
  <si>
    <t>Red</t>
  </si>
  <si>
    <t>Green</t>
  </si>
  <si>
    <t>Blue</t>
  </si>
  <si>
    <t>Blood (BLD)</t>
  </si>
  <si>
    <t>Bilirubin (BIL)</t>
  </si>
  <si>
    <t>Urobilinogen (URO)</t>
  </si>
  <si>
    <t>Ketones (KET)</t>
  </si>
  <si>
    <t>Protein (PRO)</t>
  </si>
  <si>
    <t>Nitrite (NIT)</t>
  </si>
  <si>
    <t>Glucose (GLU)</t>
  </si>
  <si>
    <t>Specific Gravity (S.G)</t>
  </si>
  <si>
    <t>Leukocytes (LEU)</t>
  </si>
  <si>
    <t>Vitamin C (VTC)</t>
  </si>
  <si>
    <t>±10</t>
  </si>
  <si>
    <t>Strip Loading Plate:</t>
  </si>
  <si>
    <t>Calibration Strip</t>
  </si>
  <si>
    <t>All parameters has passed.</t>
  </si>
  <si>
    <t>Service Engineer</t>
  </si>
  <si>
    <t>Rey Christopher A. Alipe</t>
  </si>
  <si>
    <t>Chungdo Pharm. Co., LTD.</t>
  </si>
  <si>
    <t>Brand New</t>
  </si>
  <si>
    <t>Urine Strips Analyzer</t>
  </si>
  <si>
    <t>AS300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</si>
</sst>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409]mmmm\ d\,\ yyyy;@"/>
    <numFmt numFmtId="165" formatCode="0#############"/>
    <numFmt numFmtId="166" formatCode="#,##0\ &quot;°C&quot;"/>
    <numFmt numFmtId="167" formatCode="&quot;Certificate No.: &quot;############\ "/>
    <numFmt numFmtId="168" formatCode="&quot;Date of issue: &quot;mm/dd/yyyy"/>
    <numFmt numFmtId="170" formatCode="yyyy\-mm"/>
  </numFmts>
  <fonts count="20">
    <font>
      <sz val="11"/>
      <color theme="1"/>
      <name val="Calibri"/>
      <family val="2"/>
      <scheme val="minor"/>
    </font>
    <font>
      <sz val="11"/>
      <color theme="1"/>
      <name val="Times New Roman"/>
      <family val="1"/>
    </font>
    <font>
      <sz val="11"/>
      <color theme="1"/>
      <name val="Arial Narrow"/>
      <family val="2"/>
    </font>
    <font>
      <sz val="12"/>
      <color theme="1"/>
      <name val="Arial Narrow"/>
      <family val="2"/>
    </font>
    <font>
      <sz val="9"/>
      <color theme="1"/>
      <name val="Arial Narrow"/>
      <family val="2"/>
    </font>
    <font>
      <b/>
      <sz val="11"/>
      <color rgb="FF0B2469"/>
      <name val="Arial Black"/>
      <family val="2"/>
    </font>
    <font>
      <b/>
      <sz val="18"/>
      <color rgb="FF0B2469"/>
      <name val="Arial Black"/>
      <family val="2"/>
    </font>
    <font>
      <b/>
      <i/>
      <sz val="10"/>
      <color rgb="FF0B2469"/>
      <name val="Lucida Handwriting"/>
      <family val="4"/>
    </font>
    <font>
      <sz val="11"/>
      <color rgb="FF0B2469"/>
      <name val="Times New Roman"/>
      <family val="1"/>
    </font>
    <font>
      <b/>
      <sz val="14"/>
      <color theme="1"/>
      <name val="Tahoma"/>
      <family val="2"/>
    </font>
    <font>
      <sz val="11"/>
      <color theme="1"/>
      <name val="Tahoma"/>
      <family val="2"/>
    </font>
    <font>
      <b/>
      <sz val="11"/>
      <color theme="1"/>
      <name val="Tahoma"/>
      <family val="2"/>
    </font>
    <font>
      <sz val="11"/>
      <color theme="1"/>
      <name val="Tahoma"/>
      <family val="1"/>
      <charset val="2"/>
    </font>
    <font>
      <b/>
      <sz val="9"/>
      <color indexed="81"/>
      <name val="Tahoma"/>
      <family val="2"/>
    </font>
    <font>
      <b/>
      <sz val="18"/>
      <color indexed="81"/>
      <name val="Tahoma"/>
      <family val="2"/>
    </font>
    <font>
      <b/>
      <sz val="20"/>
      <color indexed="81"/>
      <name val="Tahoma"/>
      <family val="2"/>
    </font>
    <font>
      <sz val="11"/>
      <color theme="1"/>
      <name val="Tahoma"/>
      <family val="2"/>
      <charset val="2"/>
    </font>
    <font>
      <sz val="11"/>
      <color theme="9"/>
      <name val="Tahoma"/>
      <family val="2"/>
    </font>
    <font>
      <sz val="8"/>
      <name val="Calibri"/>
      <family val="2"/>
      <scheme val="minor"/>
    </font>
    <font>
      <sz val="11"/>
      <name val="Tahoma"/>
      <family val="2"/>
    </font>
  </fonts>
  <fills count="3">
    <fill>
      <patternFill patternType="none"/>
    </fill>
    <fill>
      <patternFill patternType="gray125"/>
    </fill>
    <fill>
      <patternFill patternType="solid">
        <fgColor theme="4" tint="0.79998168889431442"/>
        <bgColor indexed="64"/>
      </patternFill>
    </fill>
  </fills>
  <borders count="14">
    <border>
      <left/>
      <right/>
      <top/>
      <bottom/>
      <diagonal/>
    </border>
    <border>
      <left/>
      <right/>
      <top/>
      <bottom style="medium">
        <color indexed="64"/>
      </bottom>
      <diagonal/>
    </border>
    <border>
      <left/>
      <right/>
      <top style="medium">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s>
  <cellStyleXfs count="1">
    <xf numFmtId="0" fontId="0" fillId="0" borderId="0"/>
  </cellStyleXfs>
  <cellXfs count="72">
    <xf numFmtId="0" fontId="0" fillId="0" borderId="0" xfId="0"/>
    <xf numFmtId="0" fontId="1" fillId="0" borderId="0" xfId="0" applyFont="1" applyAlignment="1" applyProtection="1">
      <alignment vertical="center"/>
      <protection locked="0"/>
    </xf>
    <xf numFmtId="0" fontId="1" fillId="0" borderId="0" xfId="0" applyFont="1" applyAlignment="1">
      <alignment vertical="center"/>
    </xf>
    <xf numFmtId="0" fontId="2" fillId="0" borderId="0" xfId="0" applyFont="1" applyAlignment="1" applyProtection="1">
      <alignment vertical="center"/>
      <protection locked="0"/>
    </xf>
    <xf numFmtId="0" fontId="3" fillId="0" borderId="0" xfId="0" applyFont="1" applyAlignment="1" applyProtection="1">
      <alignment vertical="center"/>
      <protection locked="0"/>
    </xf>
    <xf numFmtId="0" fontId="4" fillId="0" borderId="0" xfId="0" applyFont="1" applyAlignment="1" applyProtection="1">
      <alignment vertical="center"/>
      <protection locked="0"/>
    </xf>
    <xf numFmtId="0" fontId="10" fillId="0" borderId="0" xfId="0" applyFont="1" applyAlignment="1" applyProtection="1">
      <alignment vertical="center"/>
      <protection locked="0"/>
    </xf>
    <xf numFmtId="0" fontId="11" fillId="0" borderId="0" xfId="0" applyFont="1" applyAlignment="1" applyProtection="1">
      <alignment vertical="center"/>
      <protection locked="0"/>
    </xf>
    <xf numFmtId="14" fontId="10" fillId="0" borderId="0" xfId="0" applyNumberFormat="1" applyFont="1" applyAlignment="1" applyProtection="1">
      <alignment vertical="center"/>
      <protection locked="0"/>
    </xf>
    <xf numFmtId="0" fontId="10" fillId="0" borderId="0" xfId="0" applyFont="1" applyAlignment="1" applyProtection="1">
      <alignment horizontal="left" vertical="center"/>
      <protection locked="0"/>
    </xf>
    <xf numFmtId="168" fontId="10" fillId="0" borderId="0" xfId="0" applyNumberFormat="1" applyFont="1" applyAlignment="1" applyProtection="1">
      <alignment vertical="center"/>
      <protection locked="0"/>
    </xf>
    <xf numFmtId="0" fontId="10" fillId="0" borderId="0" xfId="0" applyFont="1" applyAlignment="1" applyProtection="1">
      <alignment horizontal="right" vertical="center"/>
      <protection locked="0"/>
    </xf>
    <xf numFmtId="0" fontId="11" fillId="0" borderId="0" xfId="0" applyFont="1" applyAlignment="1" applyProtection="1">
      <alignment horizontal="left" vertical="center"/>
      <protection locked="0"/>
    </xf>
    <xf numFmtId="168" fontId="10" fillId="0" borderId="0" xfId="0" applyNumberFormat="1" applyFont="1" applyAlignment="1" applyProtection="1">
      <alignment horizontal="center" vertical="center"/>
      <protection locked="0"/>
    </xf>
    <xf numFmtId="168" fontId="11" fillId="0" borderId="4" xfId="0" applyNumberFormat="1" applyFont="1" applyBorder="1" applyAlignment="1" applyProtection="1">
      <alignment horizontal="center" vertical="center"/>
      <protection locked="0"/>
    </xf>
    <xf numFmtId="0" fontId="17" fillId="0" borderId="4" xfId="0" applyFont="1" applyBorder="1" applyAlignment="1" applyProtection="1">
      <alignment horizontal="center" vertical="center"/>
      <protection locked="0"/>
    </xf>
    <xf numFmtId="0" fontId="10" fillId="0" borderId="4" xfId="0" applyFont="1" applyBorder="1" applyAlignment="1" applyProtection="1">
      <alignment horizontal="center" vertical="center"/>
      <protection locked="0"/>
    </xf>
    <xf numFmtId="0" fontId="10"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0" xfId="0" applyFont="1" applyAlignment="1" applyProtection="1">
      <alignment horizontal="center" vertical="center"/>
      <protection locked="0"/>
    </xf>
    <xf numFmtId="167" fontId="10"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vertical="center"/>
      <protection locked="0"/>
    </xf>
    <xf numFmtId="168" fontId="11" fillId="2" borderId="0" xfId="0" applyNumberFormat="1" applyFont="1" applyFill="1" applyAlignment="1" applyProtection="1">
      <alignment horizontal="left" vertical="center"/>
      <protection locked="0"/>
    </xf>
    <xf numFmtId="0" fontId="10" fillId="0" borderId="0" xfId="0" applyFont="1" applyAlignment="1" applyProtection="1">
      <alignment horizontal="left" vertical="top" wrapText="1"/>
      <protection locked="0"/>
    </xf>
    <xf numFmtId="0" fontId="10" fillId="0" borderId="0" xfId="0" applyFont="1" applyAlignment="1" applyProtection="1">
      <alignment horizontal="left" vertical="top"/>
      <protection locked="0"/>
    </xf>
    <xf numFmtId="0" fontId="9" fillId="0" borderId="0" xfId="0" applyFont="1" applyAlignment="1" applyProtection="1">
      <alignment horizontal="center"/>
      <protection locked="0"/>
    </xf>
    <xf numFmtId="0" fontId="10" fillId="0" borderId="0" xfId="0" applyFont="1" applyAlignment="1" applyProtection="1">
      <alignment horizontal="left" vertical="center"/>
      <protection locked="0"/>
    </xf>
    <xf numFmtId="0" fontId="16" fillId="0" borderId="0" xfId="0" applyFont="1" applyAlignment="1" applyProtection="1">
      <alignment horizontal="left" vertical="center"/>
      <protection locked="0"/>
    </xf>
    <xf numFmtId="0" fontId="12" fillId="0" borderId="0" xfId="0" applyFont="1" applyAlignment="1" applyProtection="1">
      <alignment horizontal="left" vertical="center"/>
      <protection locked="0"/>
    </xf>
    <xf numFmtId="0" fontId="10" fillId="0" borderId="0" xfId="0" applyFont="1" applyAlignment="1" applyProtection="1">
      <alignment horizontal="left" vertical="justify" wrapText="1"/>
      <protection locked="0"/>
    </xf>
    <xf numFmtId="164" fontId="10" fillId="0" borderId="0" xfId="0" applyNumberFormat="1" applyFont="1" applyAlignment="1" applyProtection="1">
      <alignment horizontal="left" vertical="center"/>
      <protection locked="0"/>
    </xf>
    <xf numFmtId="0" fontId="11" fillId="2" borderId="0" xfId="0" applyFont="1" applyFill="1" applyAlignment="1" applyProtection="1">
      <alignment horizontal="left" vertical="center"/>
      <protection locked="0"/>
    </xf>
    <xf numFmtId="166" fontId="10" fillId="0" borderId="0" xfId="0" applyNumberFormat="1" applyFont="1" applyAlignment="1" applyProtection="1">
      <alignment horizontal="left" vertical="center" wrapText="1"/>
      <protection locked="0"/>
    </xf>
    <xf numFmtId="10" fontId="10" fillId="0" borderId="0" xfId="0" applyNumberFormat="1" applyFont="1" applyAlignment="1" applyProtection="1">
      <alignment horizontal="left" vertical="center" wrapText="1"/>
      <protection locked="0"/>
    </xf>
    <xf numFmtId="49" fontId="10" fillId="0" borderId="0" xfId="0" applyNumberFormat="1" applyFont="1" applyAlignment="1" applyProtection="1">
      <alignment horizontal="left" vertical="center"/>
      <protection locked="0"/>
    </xf>
    <xf numFmtId="0" fontId="11" fillId="0" borderId="0" xfId="0" applyFont="1" applyAlignment="1" applyProtection="1">
      <alignment horizontal="left" vertical="center"/>
      <protection locked="0"/>
    </xf>
    <xf numFmtId="165" fontId="10" fillId="0" borderId="0" xfId="0" applyNumberFormat="1" applyFont="1" applyAlignment="1" applyProtection="1">
      <alignment horizontal="left" vertical="center"/>
      <protection locked="0"/>
    </xf>
    <xf numFmtId="170" fontId="10" fillId="0" borderId="0" xfId="0" applyNumberFormat="1" applyFont="1" applyAlignment="1" applyProtection="1">
      <alignment horizontal="left" vertical="center"/>
      <protection locked="0"/>
    </xf>
    <xf numFmtId="49" fontId="10" fillId="0" borderId="0" xfId="0" applyNumberFormat="1" applyFont="1" applyAlignment="1" applyProtection="1">
      <alignment horizontal="left" vertical="center" wrapText="1"/>
      <protection locked="0"/>
    </xf>
    <xf numFmtId="0" fontId="5" fillId="0" borderId="0" xfId="0" applyFont="1" applyAlignment="1">
      <alignment horizontal="center" wrapText="1"/>
    </xf>
    <xf numFmtId="0" fontId="8" fillId="0" borderId="0" xfId="0" applyFont="1" applyAlignment="1">
      <alignment horizontal="center"/>
    </xf>
    <xf numFmtId="0" fontId="9" fillId="0" borderId="0" xfId="0" applyFont="1" applyAlignment="1" applyProtection="1">
      <alignment horizontal="center" vertical="center"/>
      <protection locked="0"/>
    </xf>
    <xf numFmtId="168" fontId="10" fillId="0" borderId="0" xfId="0" applyNumberFormat="1" applyFont="1" applyAlignment="1" applyProtection="1">
      <alignment horizontal="left" vertical="center" wrapText="1"/>
      <protection locked="0"/>
    </xf>
    <xf numFmtId="0" fontId="10" fillId="0" borderId="4" xfId="0" applyFont="1" applyBorder="1" applyAlignment="1" applyProtection="1">
      <alignment horizontal="center" vertical="center" wrapText="1"/>
      <protection locked="0"/>
    </xf>
    <xf numFmtId="0" fontId="10" fillId="0" borderId="0" xfId="0" applyFont="1" applyBorder="1" applyAlignment="1" applyProtection="1">
      <alignment horizontal="center" vertical="center"/>
      <protection locked="0"/>
    </xf>
    <xf numFmtId="0" fontId="10" fillId="0" borderId="4" xfId="0" applyFont="1" applyBorder="1" applyAlignment="1" applyProtection="1">
      <alignment horizontal="left" vertical="center" wrapText="1"/>
      <protection locked="0"/>
    </xf>
    <xf numFmtId="164" fontId="10" fillId="0" borderId="4" xfId="0" applyNumberFormat="1" applyFont="1" applyBorder="1" applyAlignment="1" applyProtection="1">
      <alignment horizontal="center" vertical="center"/>
      <protection locked="0"/>
    </xf>
    <xf numFmtId="168" fontId="11" fillId="0" borderId="5" xfId="0" applyNumberFormat="1" applyFont="1" applyBorder="1" applyAlignment="1" applyProtection="1">
      <alignment horizontal="center" vertical="center"/>
      <protection locked="0"/>
    </xf>
    <xf numFmtId="168" fontId="11" fillId="0" borderId="6" xfId="0" applyNumberFormat="1" applyFont="1" applyBorder="1" applyAlignment="1" applyProtection="1">
      <alignment horizontal="center" vertical="center"/>
      <protection locked="0"/>
    </xf>
    <xf numFmtId="168" fontId="11" fillId="0" borderId="0" xfId="0" applyNumberFormat="1" applyFont="1" applyBorder="1" applyAlignment="1" applyProtection="1">
      <alignment horizontal="center" vertical="center"/>
      <protection locked="0"/>
    </xf>
    <xf numFmtId="1" fontId="10" fillId="0" borderId="0" xfId="0" applyNumberFormat="1" applyFont="1" applyBorder="1" applyAlignment="1" applyProtection="1">
      <alignment horizontal="center" vertical="center"/>
      <protection locked="0"/>
    </xf>
    <xf numFmtId="0" fontId="17" fillId="0" borderId="0" xfId="0" applyFont="1" applyBorder="1" applyAlignment="1" applyProtection="1">
      <alignment horizontal="center" vertical="center"/>
      <protection locked="0"/>
    </xf>
    <xf numFmtId="168" fontId="10" fillId="0" borderId="4" xfId="0" applyNumberFormat="1" applyFont="1" applyBorder="1" applyAlignment="1" applyProtection="1">
      <alignment horizontal="center" vertical="center"/>
      <protection locked="0"/>
    </xf>
    <xf numFmtId="168" fontId="10" fillId="0" borderId="7" xfId="0" applyNumberFormat="1" applyFont="1" applyBorder="1" applyAlignment="1" applyProtection="1">
      <alignment horizontal="center" vertical="center"/>
      <protection locked="0"/>
    </xf>
    <xf numFmtId="168" fontId="10" fillId="0" borderId="13" xfId="0" applyNumberFormat="1" applyFont="1" applyBorder="1" applyAlignment="1" applyProtection="1">
      <alignment horizontal="center" vertical="center"/>
      <protection locked="0"/>
    </xf>
    <xf numFmtId="168" fontId="10" fillId="0" borderId="8" xfId="0" applyNumberFormat="1" applyFont="1" applyBorder="1" applyAlignment="1" applyProtection="1">
      <alignment horizontal="center" vertical="center"/>
      <protection locked="0"/>
    </xf>
    <xf numFmtId="168" fontId="10" fillId="0" borderId="9" xfId="0" applyNumberFormat="1" applyFont="1" applyBorder="1" applyAlignment="1" applyProtection="1">
      <alignment horizontal="center" vertical="center"/>
      <protection locked="0"/>
    </xf>
    <xf numFmtId="168" fontId="10" fillId="0" borderId="0" xfId="0" applyNumberFormat="1" applyFont="1" applyBorder="1" applyAlignment="1" applyProtection="1">
      <alignment horizontal="center" vertical="center"/>
      <protection locked="0"/>
    </xf>
    <xf numFmtId="168" fontId="10" fillId="0" borderId="10" xfId="0" applyNumberFormat="1" applyFont="1" applyBorder="1" applyAlignment="1" applyProtection="1">
      <alignment horizontal="center" vertical="center"/>
      <protection locked="0"/>
    </xf>
    <xf numFmtId="168" fontId="10" fillId="0" borderId="11" xfId="0" applyNumberFormat="1" applyFont="1" applyBorder="1" applyAlignment="1" applyProtection="1">
      <alignment horizontal="center" vertical="center"/>
      <protection locked="0"/>
    </xf>
    <xf numFmtId="168" fontId="10" fillId="0" borderId="3" xfId="0" applyNumberFormat="1" applyFont="1" applyBorder="1" applyAlignment="1" applyProtection="1">
      <alignment horizontal="center" vertical="center"/>
      <protection locked="0"/>
    </xf>
    <xf numFmtId="168" fontId="10" fillId="0" borderId="12" xfId="0" applyNumberFormat="1" applyFont="1" applyBorder="1" applyAlignment="1" applyProtection="1">
      <alignment horizontal="center" vertical="center"/>
      <protection locked="0"/>
    </xf>
    <xf numFmtId="1" fontId="10" fillId="0" borderId="5" xfId="0" applyNumberFormat="1" applyFont="1" applyBorder="1" applyAlignment="1" applyProtection="1">
      <alignment horizontal="center" vertical="center"/>
      <protection locked="0"/>
    </xf>
    <xf numFmtId="1" fontId="10" fillId="0" borderId="6" xfId="0" applyNumberFormat="1" applyFont="1" applyBorder="1" applyAlignment="1" applyProtection="1">
      <alignment horizontal="center" vertical="center"/>
      <protection locked="0"/>
    </xf>
    <xf numFmtId="0" fontId="19" fillId="0" borderId="7" xfId="0" applyFont="1" applyBorder="1" applyAlignment="1" applyProtection="1">
      <alignment horizontal="center" vertical="center"/>
      <protection locked="0"/>
    </xf>
    <xf numFmtId="0" fontId="19" fillId="0" borderId="8" xfId="0" applyFont="1" applyBorder="1" applyAlignment="1" applyProtection="1">
      <alignment horizontal="center" vertical="center"/>
      <protection locked="0"/>
    </xf>
    <xf numFmtId="0" fontId="19" fillId="0" borderId="9" xfId="0" applyFont="1" applyBorder="1" applyAlignment="1" applyProtection="1">
      <alignment horizontal="center" vertical="center"/>
      <protection locked="0"/>
    </xf>
    <xf numFmtId="0" fontId="19" fillId="0" borderId="10" xfId="0" applyFont="1" applyBorder="1" applyAlignment="1" applyProtection="1">
      <alignment horizontal="center" vertical="center"/>
      <protection locked="0"/>
    </xf>
    <xf numFmtId="0" fontId="19" fillId="0" borderId="11" xfId="0" applyFont="1" applyBorder="1" applyAlignment="1" applyProtection="1">
      <alignment horizontal="center" vertical="center"/>
      <protection locked="0"/>
    </xf>
    <xf numFmtId="0" fontId="19" fillId="0" borderId="12" xfId="0" applyFont="1" applyBorder="1" applyAlignment="1" applyProtection="1">
      <alignment horizontal="center" vertical="center"/>
      <protection locked="0"/>
    </xf>
    <xf numFmtId="0" fontId="10" fillId="0" borderId="0" xfId="0" applyFont="1" applyBorder="1" applyAlignment="1" applyProtection="1">
      <alignment horizontal="left" vertical="center"/>
      <protection locked="0"/>
    </xf>
    <xf numFmtId="0" fontId="11" fillId="0" borderId="0" xfId="0" applyFont="1" applyBorder="1" applyAlignment="1" applyProtection="1">
      <alignment horizontal="center" vertical="center"/>
      <protection locked="0"/>
    </xf>
  </cellXfs>
  <cellStyles count="1">
    <cellStyle name="Normal" xfId="0" builtinId="0"/>
  </cellStyles>
  <dxfs count="4">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s>
  <tableStyles count="0" defaultTableStyle="TableStyleMedium2" defaultPivotStyle="PivotStyleLight16"/>
  <colors>
    <mruColors>
      <color rgb="FF051131"/>
      <color rgb="FF0B2469"/>
      <color rgb="FF1138A7"/>
      <color rgb="FF1408B0"/>
      <color rgb="FF1C02B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9525</xdr:colOff>
      <xdr:row>0</xdr:row>
      <xdr:rowOff>19050</xdr:rowOff>
    </xdr:from>
    <xdr:to>
      <xdr:col>6</xdr:col>
      <xdr:colOff>239622</xdr:colOff>
      <xdr:row>0</xdr:row>
      <xdr:rowOff>601907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78056"/>
        <a:stretch/>
      </xdr:blipFill>
      <xdr:spPr>
        <a:xfrm>
          <a:off x="3324225" y="19050"/>
          <a:ext cx="877797" cy="58285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175"/>
  <sheetViews>
    <sheetView showGridLines="0" tabSelected="1" view="pageLayout" topLeftCell="A12" zoomScale="103" zoomScaleNormal="100" zoomScalePageLayoutView="103" workbookViewId="0">
      <selection activeCell="C17" sqref="C17:F17"/>
    </sheetView>
  </sheetViews>
  <sheetFormatPr defaultColWidth="8.109375" defaultRowHeight="14.25" customHeight="1"/>
  <cols>
    <col min="1" max="1" width="9.109375" style="1" customWidth="1"/>
    <col min="2" max="2" width="10.109375" style="1" customWidth="1"/>
    <col min="3" max="8" width="9.109375" style="1" customWidth="1"/>
    <col min="9" max="9" width="9.88671875" style="1" bestFit="1" customWidth="1"/>
    <col min="10" max="15" width="8.109375" style="1"/>
    <col min="16" max="16" width="8.109375" style="1" customWidth="1"/>
    <col min="17" max="17" width="10" style="1" bestFit="1" customWidth="1"/>
    <col min="18" max="16384" width="8.109375" style="1"/>
  </cols>
  <sheetData>
    <row r="1" spans="1:12" ht="86.25" customHeight="1">
      <c r="A1" s="39" t="s">
        <v>22</v>
      </c>
      <c r="B1" s="40"/>
      <c r="C1" s="40"/>
      <c r="D1" s="40"/>
      <c r="E1" s="40"/>
      <c r="F1" s="40"/>
      <c r="G1" s="40"/>
      <c r="H1" s="40"/>
      <c r="I1" s="40"/>
      <c r="J1" s="40"/>
      <c r="K1" s="40"/>
      <c r="L1" s="40"/>
    </row>
    <row r="2" spans="1:12" ht="6" customHeight="1">
      <c r="A2" s="2"/>
      <c r="B2" s="2"/>
      <c r="C2" s="2"/>
      <c r="D2" s="2"/>
      <c r="E2" s="2"/>
      <c r="F2" s="2"/>
      <c r="G2" s="2"/>
      <c r="H2" s="2"/>
      <c r="I2" s="2"/>
      <c r="J2" s="2"/>
      <c r="K2" s="2"/>
      <c r="L2" s="2"/>
    </row>
    <row r="3" spans="1:12" s="6" customFormat="1" ht="21.6" customHeight="1">
      <c r="A3" s="41" t="s">
        <v>41</v>
      </c>
      <c r="B3" s="41"/>
      <c r="C3" s="41"/>
      <c r="D3" s="41"/>
      <c r="E3" s="41"/>
      <c r="F3" s="41"/>
      <c r="G3" s="41"/>
      <c r="H3" s="41"/>
      <c r="I3" s="41"/>
      <c r="J3" s="41"/>
      <c r="K3" s="41"/>
      <c r="L3" s="41"/>
    </row>
    <row r="4" spans="1:12" s="6" customFormat="1" ht="18" customHeight="1">
      <c r="B4" s="10"/>
      <c r="C4" s="10"/>
      <c r="D4" s="10"/>
      <c r="E4" s="10"/>
      <c r="F4" s="10"/>
      <c r="G4" s="10"/>
      <c r="H4" s="10"/>
      <c r="I4" s="10"/>
      <c r="J4" s="10"/>
      <c r="K4" s="10"/>
      <c r="L4" s="10"/>
    </row>
    <row r="5" spans="1:12" s="6" customFormat="1" ht="18" customHeight="1">
      <c r="A5" s="42" t="s">
        <v>28</v>
      </c>
      <c r="B5" s="42"/>
      <c r="C5" s="26" t="e">
        <f ca="1">ExtractCap(C11)&amp;"-"&amp;ExtractCap(C16)&amp;"-"&amp;RIGHT(C17,5)&amp;"-"&amp;TEXT(J5,"mmyyyy")</f>
        <v>#NAME?</v>
      </c>
      <c r="D5" s="26"/>
      <c r="E5" s="26"/>
      <c r="F5" s="26"/>
      <c r="G5" s="26"/>
      <c r="H5" s="26"/>
      <c r="I5" s="11" t="str">
        <f>IF(J5="", "Date:","")</f>
        <v/>
      </c>
      <c r="J5" s="21">
        <v>45805</v>
      </c>
      <c r="K5" s="21"/>
      <c r="L5" s="21"/>
    </row>
    <row r="6" spans="1:12" s="6" customFormat="1" ht="18" customHeight="1">
      <c r="A6" s="31" t="s">
        <v>23</v>
      </c>
      <c r="B6" s="31"/>
      <c r="C6" s="31"/>
      <c r="D6" s="31"/>
      <c r="E6" s="31"/>
      <c r="F6" s="31"/>
      <c r="G6" s="31"/>
      <c r="H6" s="31"/>
      <c r="I6" s="31"/>
      <c r="J6" s="31"/>
      <c r="K6" s="31"/>
      <c r="L6" s="31"/>
    </row>
    <row r="7" spans="1:12" s="6" customFormat="1" ht="18" customHeight="1">
      <c r="A7" s="26" t="s">
        <v>14</v>
      </c>
      <c r="B7" s="26"/>
      <c r="C7" s="26" t="s">
        <v>20</v>
      </c>
      <c r="D7" s="26"/>
      <c r="E7" s="26"/>
      <c r="F7" s="26"/>
      <c r="G7" s="26"/>
      <c r="H7" s="26"/>
      <c r="I7" s="26"/>
      <c r="J7" s="26"/>
      <c r="K7" s="26"/>
      <c r="L7" s="26"/>
    </row>
    <row r="8" spans="1:12" s="6" customFormat="1" ht="18" customHeight="1">
      <c r="A8" s="26" t="s">
        <v>4</v>
      </c>
      <c r="B8" s="26"/>
      <c r="C8" s="26" t="s">
        <v>34</v>
      </c>
      <c r="D8" s="26"/>
      <c r="E8" s="26"/>
      <c r="F8" s="26"/>
      <c r="G8" s="26"/>
      <c r="H8" s="26"/>
      <c r="I8" s="26"/>
      <c r="J8" s="26"/>
      <c r="K8" s="26"/>
      <c r="L8" s="26"/>
    </row>
    <row r="9" spans="1:12" s="6" customFormat="1" ht="18" customHeight="1">
      <c r="A9" s="26" t="s">
        <v>5</v>
      </c>
      <c r="B9" s="26"/>
      <c r="C9" s="36" t="s">
        <v>15</v>
      </c>
      <c r="D9" s="36"/>
      <c r="E9" s="36"/>
      <c r="F9" s="36"/>
      <c r="G9" s="36"/>
      <c r="H9" s="36"/>
      <c r="I9" s="36"/>
      <c r="J9" s="36"/>
      <c r="K9" s="36"/>
      <c r="L9" s="36"/>
    </row>
    <row r="10" spans="1:12" s="6" customFormat="1" ht="18" customHeight="1">
      <c r="A10" s="31" t="s">
        <v>24</v>
      </c>
      <c r="B10" s="31"/>
      <c r="C10" s="31"/>
      <c r="D10" s="31"/>
      <c r="E10" s="31"/>
      <c r="F10" s="31"/>
      <c r="G10" s="31"/>
      <c r="H10" s="31"/>
      <c r="I10" s="31"/>
      <c r="J10" s="31"/>
      <c r="K10" s="31"/>
      <c r="L10" s="31"/>
    </row>
    <row r="11" spans="1:12" s="6" customFormat="1" ht="18" customHeight="1">
      <c r="A11" s="26" t="s">
        <v>14</v>
      </c>
      <c r="B11" s="26"/>
      <c r="C11" s="26"/>
      <c r="D11" s="26"/>
      <c r="E11" s="26"/>
      <c r="F11" s="26"/>
      <c r="G11" s="26"/>
      <c r="H11" s="26"/>
      <c r="I11" s="26"/>
      <c r="J11" s="26"/>
      <c r="K11" s="26"/>
      <c r="L11" s="26"/>
    </row>
    <row r="12" spans="1:12" s="6" customFormat="1" ht="18" customHeight="1">
      <c r="A12" s="26" t="s">
        <v>4</v>
      </c>
      <c r="B12" s="26"/>
      <c r="C12" s="26"/>
      <c r="D12" s="26"/>
      <c r="E12" s="26"/>
      <c r="F12" s="26"/>
      <c r="G12" s="26"/>
      <c r="H12" s="26"/>
      <c r="I12" s="26"/>
      <c r="J12" s="26"/>
      <c r="K12" s="26"/>
      <c r="L12" s="26"/>
    </row>
    <row r="13" spans="1:12" s="6" customFormat="1" ht="18" customHeight="1">
      <c r="A13" s="26" t="s">
        <v>5</v>
      </c>
      <c r="B13" s="26"/>
      <c r="C13" s="36"/>
      <c r="D13" s="36"/>
      <c r="E13" s="36"/>
      <c r="F13" s="36"/>
      <c r="G13" s="36"/>
      <c r="H13" s="36"/>
      <c r="I13" s="36"/>
      <c r="J13" s="36"/>
      <c r="K13" s="36"/>
      <c r="L13" s="36"/>
    </row>
    <row r="14" spans="1:12" s="6" customFormat="1" ht="18" customHeight="1">
      <c r="A14" s="31" t="s">
        <v>0</v>
      </c>
      <c r="B14" s="31"/>
      <c r="C14" s="31"/>
      <c r="D14" s="31"/>
      <c r="E14" s="31"/>
      <c r="F14" s="31"/>
      <c r="G14" s="31"/>
      <c r="H14" s="31"/>
      <c r="I14" s="31"/>
      <c r="J14" s="31"/>
      <c r="K14" s="31"/>
      <c r="L14" s="31"/>
    </row>
    <row r="15" spans="1:12" s="6" customFormat="1" ht="18" customHeight="1">
      <c r="A15" s="26" t="s">
        <v>30</v>
      </c>
      <c r="B15" s="26"/>
      <c r="C15" s="38" t="s">
        <v>71</v>
      </c>
      <c r="D15" s="38"/>
      <c r="E15" s="38"/>
      <c r="F15" s="38"/>
      <c r="G15" s="26" t="s">
        <v>12</v>
      </c>
      <c r="H15" s="26"/>
      <c r="I15" s="26" t="s">
        <v>69</v>
      </c>
      <c r="J15" s="26"/>
      <c r="K15" s="26"/>
      <c r="L15" s="26"/>
    </row>
    <row r="16" spans="1:12" s="6" customFormat="1" ht="18" customHeight="1">
      <c r="A16" s="26" t="s">
        <v>1</v>
      </c>
      <c r="B16" s="26"/>
      <c r="C16" s="34" t="s">
        <v>72</v>
      </c>
      <c r="D16" s="34"/>
      <c r="E16" s="34"/>
      <c r="F16" s="34"/>
      <c r="G16" s="26" t="s">
        <v>29</v>
      </c>
      <c r="H16" s="26"/>
      <c r="I16" s="37"/>
      <c r="J16" s="37"/>
      <c r="K16" s="37"/>
      <c r="L16" s="37"/>
    </row>
    <row r="17" spans="1:12" s="6" customFormat="1" ht="18" customHeight="1">
      <c r="A17" s="26" t="s">
        <v>2</v>
      </c>
      <c r="B17" s="26"/>
      <c r="C17" s="34"/>
      <c r="D17" s="34"/>
      <c r="E17" s="34"/>
      <c r="F17" s="34"/>
      <c r="G17" s="26" t="s">
        <v>3</v>
      </c>
      <c r="H17" s="26"/>
      <c r="I17" s="26" t="s">
        <v>20</v>
      </c>
      <c r="J17" s="26"/>
      <c r="K17" s="26"/>
      <c r="L17" s="26"/>
    </row>
    <row r="18" spans="1:12" s="6" customFormat="1" ht="18" customHeight="1">
      <c r="A18" s="26" t="s">
        <v>16</v>
      </c>
      <c r="B18" s="26"/>
      <c r="C18" s="36" t="s">
        <v>70</v>
      </c>
      <c r="D18" s="36"/>
      <c r="E18" s="36"/>
      <c r="F18" s="36"/>
      <c r="G18" s="26" t="s">
        <v>17</v>
      </c>
      <c r="H18" s="26"/>
      <c r="I18" s="26" t="s">
        <v>70</v>
      </c>
      <c r="J18" s="26"/>
      <c r="K18" s="26"/>
      <c r="L18" s="26"/>
    </row>
    <row r="19" spans="1:12" s="6" customFormat="1" ht="18" customHeight="1">
      <c r="A19" s="31" t="s">
        <v>25</v>
      </c>
      <c r="B19" s="31"/>
      <c r="C19" s="31"/>
      <c r="D19" s="31"/>
      <c r="E19" s="31"/>
      <c r="F19" s="31"/>
      <c r="G19" s="31"/>
      <c r="H19" s="31"/>
      <c r="I19" s="31"/>
      <c r="J19" s="31"/>
      <c r="K19" s="31"/>
      <c r="L19" s="31"/>
    </row>
    <row r="20" spans="1:12" s="6" customFormat="1" ht="18" customHeight="1">
      <c r="A20" s="9" t="s">
        <v>9</v>
      </c>
      <c r="B20" s="9"/>
      <c r="C20" s="32">
        <v>25</v>
      </c>
      <c r="D20" s="32"/>
      <c r="E20" s="32"/>
      <c r="F20" s="32"/>
      <c r="G20" s="9" t="s">
        <v>10</v>
      </c>
      <c r="H20" s="9"/>
      <c r="I20" s="33">
        <v>0.45</v>
      </c>
      <c r="J20" s="33"/>
      <c r="K20" s="33"/>
      <c r="L20" s="33"/>
    </row>
    <row r="21" spans="1:12" s="6" customFormat="1" ht="18" customHeight="1">
      <c r="A21" s="26" t="s">
        <v>13</v>
      </c>
      <c r="B21" s="26"/>
      <c r="C21" s="34"/>
      <c r="D21" s="34"/>
      <c r="E21" s="34"/>
      <c r="F21" s="34"/>
      <c r="G21" s="34"/>
      <c r="H21" s="34"/>
      <c r="I21" s="34"/>
      <c r="J21" s="34"/>
      <c r="K21" s="34"/>
      <c r="L21" s="34"/>
    </row>
    <row r="22" spans="1:12" s="6" customFormat="1" ht="18" customHeight="1">
      <c r="A22" s="31" t="s">
        <v>26</v>
      </c>
      <c r="B22" s="31"/>
      <c r="C22" s="31"/>
      <c r="D22" s="31"/>
      <c r="E22" s="31"/>
      <c r="F22" s="31"/>
      <c r="G22" s="31"/>
      <c r="H22" s="31"/>
      <c r="I22" s="31"/>
      <c r="J22" s="31"/>
      <c r="K22" s="31"/>
      <c r="L22" s="31"/>
    </row>
    <row r="23" spans="1:12" s="6" customFormat="1" ht="18" customHeight="1">
      <c r="A23" s="26" t="s">
        <v>11</v>
      </c>
      <c r="B23" s="35"/>
      <c r="C23" s="26" t="s">
        <v>42</v>
      </c>
      <c r="D23" s="35"/>
      <c r="E23" s="35"/>
      <c r="F23" s="35"/>
      <c r="G23" s="35"/>
      <c r="H23" s="35"/>
      <c r="I23" s="35"/>
      <c r="J23" s="35"/>
      <c r="K23" s="35"/>
      <c r="L23" s="35"/>
    </row>
    <row r="24" spans="1:12" s="6" customFormat="1" ht="18" customHeight="1">
      <c r="A24" s="26" t="s">
        <v>18</v>
      </c>
      <c r="B24" s="35"/>
      <c r="C24" s="26" t="s">
        <v>43</v>
      </c>
      <c r="D24" s="35"/>
      <c r="E24" s="35"/>
      <c r="F24" s="35"/>
      <c r="G24" s="35"/>
      <c r="H24" s="35"/>
      <c r="I24" s="35"/>
      <c r="J24" s="35"/>
      <c r="K24" s="35"/>
      <c r="L24" s="35"/>
    </row>
    <row r="25" spans="1:12" s="6" customFormat="1" ht="18" customHeight="1">
      <c r="A25" s="9" t="s">
        <v>33</v>
      </c>
      <c r="B25" s="12"/>
      <c r="C25" s="43" t="s">
        <v>45</v>
      </c>
      <c r="D25" s="43"/>
      <c r="E25" s="43"/>
      <c r="F25" s="43"/>
      <c r="G25" s="16" t="s">
        <v>46</v>
      </c>
      <c r="H25" s="16"/>
      <c r="I25" s="16"/>
      <c r="J25" s="16" t="s">
        <v>47</v>
      </c>
      <c r="K25" s="16"/>
      <c r="L25" s="16"/>
    </row>
    <row r="26" spans="1:12" s="6" customFormat="1" ht="18" customHeight="1">
      <c r="C26" s="45" t="s">
        <v>44</v>
      </c>
      <c r="D26" s="45"/>
      <c r="E26" s="45"/>
      <c r="F26" s="45"/>
      <c r="G26" s="16"/>
      <c r="H26" s="16"/>
      <c r="I26" s="16"/>
      <c r="J26" s="46" t="s">
        <v>48</v>
      </c>
      <c r="K26" s="46"/>
      <c r="L26" s="46"/>
    </row>
    <row r="27" spans="1:12" s="6" customFormat="1" ht="18" customHeight="1"/>
    <row r="28" spans="1:12" s="6" customFormat="1" ht="18" customHeight="1">
      <c r="A28" s="31" t="s">
        <v>27</v>
      </c>
      <c r="B28" s="31"/>
      <c r="C28" s="31"/>
      <c r="D28" s="31"/>
      <c r="E28" s="31"/>
      <c r="F28" s="31"/>
      <c r="G28" s="31"/>
      <c r="H28" s="31"/>
      <c r="I28" s="31"/>
      <c r="J28" s="31"/>
      <c r="K28" s="31"/>
      <c r="L28" s="31"/>
    </row>
    <row r="29" spans="1:12" s="6" customFormat="1" ht="18" customHeight="1">
      <c r="A29" s="26" t="s">
        <v>6</v>
      </c>
      <c r="B29" s="26"/>
      <c r="C29" s="30"/>
      <c r="D29" s="30"/>
      <c r="E29" s="30"/>
      <c r="F29" s="30"/>
      <c r="G29" s="26" t="s">
        <v>7</v>
      </c>
      <c r="H29" s="26"/>
      <c r="I29" s="30"/>
      <c r="J29" s="30"/>
      <c r="K29" s="30"/>
      <c r="L29" s="30"/>
    </row>
    <row r="30" spans="1:12" s="6" customFormat="1" ht="18" customHeight="1">
      <c r="A30" s="70" t="s">
        <v>64</v>
      </c>
      <c r="B30" s="70"/>
      <c r="C30" s="27" t="s">
        <v>31</v>
      </c>
      <c r="D30" s="27"/>
      <c r="E30" s="27"/>
      <c r="F30" s="27"/>
      <c r="G30" s="26"/>
      <c r="H30" s="26"/>
      <c r="I30" s="28"/>
      <c r="J30" s="28"/>
      <c r="K30" s="28"/>
      <c r="L30" s="28"/>
    </row>
    <row r="31" spans="1:12" s="6" customFormat="1" ht="18" customHeight="1">
      <c r="A31" s="6" t="s">
        <v>19</v>
      </c>
      <c r="C31" s="26" t="s">
        <v>39</v>
      </c>
      <c r="D31" s="26"/>
      <c r="E31" s="26"/>
      <c r="F31" s="26"/>
      <c r="G31" s="26"/>
      <c r="H31" s="26"/>
      <c r="I31" s="26"/>
      <c r="J31" s="26"/>
      <c r="K31" s="26"/>
      <c r="L31" s="26"/>
    </row>
    <row r="32" spans="1:12" s="6" customFormat="1" ht="18" customHeight="1"/>
    <row r="33" spans="1:17" s="6" customFormat="1" ht="18" customHeight="1">
      <c r="A33" s="29" t="s">
        <v>32</v>
      </c>
      <c r="B33" s="29"/>
      <c r="C33" s="29"/>
      <c r="D33" s="29"/>
      <c r="E33" s="29"/>
      <c r="F33" s="29"/>
      <c r="G33" s="29"/>
      <c r="H33" s="29"/>
      <c r="I33" s="29"/>
      <c r="J33" s="29"/>
      <c r="K33" s="29"/>
      <c r="L33" s="29"/>
      <c r="Q33" s="8"/>
    </row>
    <row r="34" spans="1:17" s="6" customFormat="1" ht="18" customHeight="1">
      <c r="A34" s="29"/>
      <c r="B34" s="29"/>
      <c r="C34" s="29"/>
      <c r="D34" s="29"/>
      <c r="E34" s="29"/>
      <c r="F34" s="29"/>
      <c r="G34" s="29"/>
      <c r="H34" s="29"/>
      <c r="I34" s="29"/>
      <c r="J34" s="29"/>
      <c r="K34" s="29"/>
      <c r="L34" s="29"/>
      <c r="Q34" s="8"/>
    </row>
    <row r="35" spans="1:17" s="6" customFormat="1" ht="18" customHeight="1">
      <c r="A35" s="29"/>
      <c r="B35" s="29"/>
      <c r="C35" s="29"/>
      <c r="D35" s="29"/>
      <c r="E35" s="29"/>
      <c r="F35" s="29"/>
      <c r="G35" s="29"/>
      <c r="H35" s="29"/>
      <c r="I35" s="29"/>
      <c r="J35" s="29"/>
      <c r="K35" s="29"/>
      <c r="L35" s="29"/>
    </row>
    <row r="36" spans="1:17" s="6" customFormat="1" ht="18" customHeight="1">
      <c r="A36" s="29"/>
      <c r="B36" s="29"/>
      <c r="C36" s="29"/>
      <c r="D36" s="29"/>
      <c r="E36" s="29"/>
      <c r="F36" s="29"/>
      <c r="G36" s="29"/>
      <c r="H36" s="29"/>
      <c r="I36" s="29"/>
      <c r="J36" s="29"/>
      <c r="K36" s="29"/>
      <c r="L36" s="29"/>
    </row>
    <row r="37" spans="1:17" s="6" customFormat="1" ht="18" customHeight="1">
      <c r="A37" s="29"/>
      <c r="B37" s="29"/>
      <c r="C37" s="29"/>
      <c r="D37" s="29"/>
      <c r="E37" s="29"/>
      <c r="F37" s="29"/>
      <c r="G37" s="29"/>
      <c r="H37" s="29"/>
      <c r="I37" s="29"/>
      <c r="J37" s="29"/>
      <c r="K37" s="29"/>
      <c r="L37" s="29"/>
    </row>
    <row r="38" spans="1:17" s="6" customFormat="1" ht="18" customHeight="1">
      <c r="A38" s="29"/>
      <c r="B38" s="29"/>
      <c r="C38" s="29"/>
      <c r="D38" s="29"/>
      <c r="E38" s="29"/>
      <c r="F38" s="29"/>
      <c r="G38" s="29"/>
      <c r="H38" s="29"/>
      <c r="I38" s="29"/>
      <c r="J38" s="29"/>
      <c r="K38" s="29"/>
      <c r="L38" s="29"/>
    </row>
    <row r="39" spans="1:17" s="6" customFormat="1" ht="18" customHeight="1">
      <c r="A39" s="6" t="s">
        <v>23</v>
      </c>
      <c r="H39" s="6" t="s">
        <v>23</v>
      </c>
    </row>
    <row r="40" spans="1:17" s="4" customFormat="1" ht="18" customHeight="1">
      <c r="A40" s="6"/>
      <c r="B40" s="6"/>
      <c r="C40" s="6"/>
      <c r="H40" s="6"/>
      <c r="I40" s="6"/>
      <c r="J40" s="6"/>
    </row>
    <row r="41" spans="1:17" s="4" customFormat="1" ht="18" customHeight="1" thickBot="1">
      <c r="A41" s="17"/>
      <c r="B41" s="17"/>
      <c r="C41" s="17"/>
      <c r="H41" s="17" t="s">
        <v>68</v>
      </c>
      <c r="I41" s="17"/>
      <c r="J41" s="17"/>
    </row>
    <row r="42" spans="1:17" s="4" customFormat="1" ht="18" customHeight="1">
      <c r="A42" s="18" t="s">
        <v>67</v>
      </c>
      <c r="B42" s="18"/>
      <c r="C42" s="18"/>
      <c r="H42" s="18" t="s">
        <v>8</v>
      </c>
      <c r="I42" s="18"/>
      <c r="J42" s="18"/>
    </row>
    <row r="43" spans="1:17" s="4" customFormat="1" ht="18" customHeight="1">
      <c r="A43" s="71"/>
      <c r="B43" s="71"/>
      <c r="C43" s="71"/>
      <c r="H43" s="71"/>
      <c r="I43" s="71"/>
      <c r="J43" s="71"/>
    </row>
    <row r="44" spans="1:17" s="6" customFormat="1" ht="18" customHeight="1">
      <c r="A44" s="25" t="s">
        <v>40</v>
      </c>
      <c r="B44" s="25"/>
      <c r="C44" s="25"/>
      <c r="D44" s="25"/>
      <c r="E44" s="25"/>
      <c r="F44" s="25"/>
      <c r="G44" s="25"/>
      <c r="H44" s="25"/>
      <c r="I44" s="25"/>
      <c r="J44" s="25"/>
      <c r="K44" s="25"/>
      <c r="L44" s="25"/>
    </row>
    <row r="45" spans="1:17" s="6" customFormat="1" ht="18" customHeight="1">
      <c r="A45" s="20" t="e">
        <f ca="1">"Certificate Number: "&amp;C5</f>
        <v>#NAME?</v>
      </c>
      <c r="B45" s="20"/>
      <c r="C45" s="20"/>
      <c r="D45" s="20"/>
      <c r="E45" s="20"/>
      <c r="F45" s="20"/>
      <c r="G45" s="20"/>
      <c r="H45" s="20"/>
      <c r="I45" s="20"/>
      <c r="J45" s="20"/>
      <c r="K45" s="20"/>
      <c r="L45" s="20"/>
    </row>
    <row r="46" spans="1:17" s="6" customFormat="1" ht="18" customHeight="1">
      <c r="A46" s="21">
        <f>J5</f>
        <v>45805</v>
      </c>
      <c r="B46" s="21"/>
      <c r="C46" s="21"/>
      <c r="D46" s="21"/>
      <c r="E46" s="21"/>
      <c r="F46" s="21"/>
      <c r="G46" s="21"/>
      <c r="H46" s="21"/>
      <c r="I46" s="21"/>
      <c r="J46" s="21"/>
      <c r="K46" s="21"/>
      <c r="L46" s="21"/>
    </row>
    <row r="47" spans="1:17" s="6" customFormat="1" ht="18" customHeight="1">
      <c r="A47" s="13"/>
      <c r="B47" s="13"/>
      <c r="C47" s="13"/>
      <c r="D47" s="13"/>
      <c r="E47" s="13"/>
      <c r="F47" s="13"/>
      <c r="G47" s="13"/>
      <c r="H47" s="13"/>
      <c r="I47" s="13"/>
      <c r="J47" s="13"/>
      <c r="K47" s="13"/>
      <c r="L47" s="13"/>
    </row>
    <row r="48" spans="1:17" ht="18" customHeight="1">
      <c r="A48" s="22" t="s">
        <v>65</v>
      </c>
      <c r="B48" s="22"/>
      <c r="C48" s="22"/>
      <c r="D48" s="22"/>
      <c r="E48" s="22"/>
      <c r="F48" s="22"/>
      <c r="G48" s="22"/>
      <c r="H48" s="22"/>
      <c r="I48" s="22"/>
      <c r="J48" s="22"/>
      <c r="K48" s="22"/>
      <c r="L48" s="22"/>
    </row>
    <row r="49" spans="1:12" ht="18" customHeight="1">
      <c r="C49" s="13"/>
      <c r="D49" s="13"/>
      <c r="E49" s="13"/>
      <c r="F49" s="13"/>
      <c r="G49" s="13"/>
      <c r="H49" s="13"/>
      <c r="I49" s="13"/>
      <c r="J49" s="13"/>
      <c r="K49" s="13"/>
      <c r="L49" s="13"/>
    </row>
    <row r="50" spans="1:12" ht="18" customHeight="1">
      <c r="A50" s="14" t="s">
        <v>35</v>
      </c>
      <c r="B50" s="14"/>
      <c r="C50" s="14"/>
      <c r="D50" s="14"/>
      <c r="E50" s="14" t="s">
        <v>36</v>
      </c>
      <c r="F50" s="14"/>
      <c r="G50" s="47" t="s">
        <v>37</v>
      </c>
      <c r="H50" s="48"/>
      <c r="I50" s="47" t="s">
        <v>38</v>
      </c>
      <c r="J50" s="48"/>
      <c r="K50" s="14" t="s">
        <v>21</v>
      </c>
      <c r="L50" s="14"/>
    </row>
    <row r="51" spans="1:12" ht="18" customHeight="1">
      <c r="A51" s="53" t="s">
        <v>53</v>
      </c>
      <c r="B51" s="54"/>
      <c r="C51" s="55"/>
      <c r="D51" s="52" t="s">
        <v>50</v>
      </c>
      <c r="E51" s="62">
        <v>335</v>
      </c>
      <c r="F51" s="63"/>
      <c r="G51" s="16">
        <v>333</v>
      </c>
      <c r="H51" s="16"/>
      <c r="I51" s="64" t="s">
        <v>63</v>
      </c>
      <c r="J51" s="65"/>
      <c r="K51" s="15" t="str">
        <f>IF(E51&lt;323, "Fail", IF(E51&gt;434, "Fail","Pass"))</f>
        <v>Pass</v>
      </c>
      <c r="L51" s="15"/>
    </row>
    <row r="52" spans="1:12" ht="18" customHeight="1">
      <c r="A52" s="56"/>
      <c r="B52" s="57"/>
      <c r="C52" s="58"/>
      <c r="D52" s="52" t="s">
        <v>51</v>
      </c>
      <c r="E52" s="62">
        <v>331</v>
      </c>
      <c r="F52" s="63"/>
      <c r="G52" s="16"/>
      <c r="H52" s="16"/>
      <c r="I52" s="66"/>
      <c r="J52" s="67"/>
      <c r="K52" s="15" t="str">
        <f t="shared" ref="K52:K83" si="0">IF(E52&lt;323, "Fail", IF(E52&gt;434, "Fail","Pass"))</f>
        <v>Pass</v>
      </c>
      <c r="L52" s="15"/>
    </row>
    <row r="53" spans="1:12" ht="18" customHeight="1">
      <c r="A53" s="59"/>
      <c r="B53" s="60"/>
      <c r="C53" s="61"/>
      <c r="D53" s="52" t="s">
        <v>52</v>
      </c>
      <c r="E53" s="62">
        <v>335</v>
      </c>
      <c r="F53" s="63"/>
      <c r="G53" s="16"/>
      <c r="H53" s="16"/>
      <c r="I53" s="66"/>
      <c r="J53" s="67"/>
      <c r="K53" s="15" t="str">
        <f t="shared" si="0"/>
        <v>Pass</v>
      </c>
      <c r="L53" s="15"/>
    </row>
    <row r="54" spans="1:12" ht="18" customHeight="1">
      <c r="A54" s="53" t="s">
        <v>54</v>
      </c>
      <c r="B54" s="54"/>
      <c r="C54" s="55"/>
      <c r="D54" s="52" t="s">
        <v>50</v>
      </c>
      <c r="E54" s="62">
        <v>334</v>
      </c>
      <c r="F54" s="63"/>
      <c r="G54" s="16"/>
      <c r="H54" s="16"/>
      <c r="I54" s="66"/>
      <c r="J54" s="67"/>
      <c r="K54" s="15" t="str">
        <f t="shared" si="0"/>
        <v>Pass</v>
      </c>
      <c r="L54" s="15"/>
    </row>
    <row r="55" spans="1:12" s="6" customFormat="1" ht="18" customHeight="1">
      <c r="A55" s="56"/>
      <c r="B55" s="57"/>
      <c r="C55" s="58"/>
      <c r="D55" s="52" t="s">
        <v>51</v>
      </c>
      <c r="E55" s="62">
        <v>331</v>
      </c>
      <c r="F55" s="63"/>
      <c r="G55" s="16"/>
      <c r="H55" s="16"/>
      <c r="I55" s="66"/>
      <c r="J55" s="67"/>
      <c r="K55" s="15" t="str">
        <f t="shared" si="0"/>
        <v>Pass</v>
      </c>
      <c r="L55" s="15"/>
    </row>
    <row r="56" spans="1:12" s="4" customFormat="1" ht="18" customHeight="1">
      <c r="A56" s="59"/>
      <c r="B56" s="60"/>
      <c r="C56" s="61"/>
      <c r="D56" s="52" t="s">
        <v>52</v>
      </c>
      <c r="E56" s="62">
        <v>335</v>
      </c>
      <c r="F56" s="63"/>
      <c r="G56" s="16"/>
      <c r="H56" s="16"/>
      <c r="I56" s="66"/>
      <c r="J56" s="67"/>
      <c r="K56" s="15" t="str">
        <f t="shared" si="0"/>
        <v>Pass</v>
      </c>
      <c r="L56" s="15"/>
    </row>
    <row r="57" spans="1:12" s="4" customFormat="1" ht="18" customHeight="1">
      <c r="A57" s="53" t="s">
        <v>55</v>
      </c>
      <c r="B57" s="54"/>
      <c r="C57" s="55"/>
      <c r="D57" s="52" t="s">
        <v>50</v>
      </c>
      <c r="E57" s="62">
        <v>334</v>
      </c>
      <c r="F57" s="63"/>
      <c r="G57" s="16"/>
      <c r="H57" s="16"/>
      <c r="I57" s="66"/>
      <c r="J57" s="67"/>
      <c r="K57" s="15" t="str">
        <f t="shared" si="0"/>
        <v>Pass</v>
      </c>
      <c r="L57" s="15"/>
    </row>
    <row r="58" spans="1:12" s="4" customFormat="1" ht="18" customHeight="1">
      <c r="A58" s="56"/>
      <c r="B58" s="57"/>
      <c r="C58" s="58"/>
      <c r="D58" s="52" t="s">
        <v>51</v>
      </c>
      <c r="E58" s="62">
        <v>331</v>
      </c>
      <c r="F58" s="63"/>
      <c r="G58" s="16"/>
      <c r="H58" s="16"/>
      <c r="I58" s="66"/>
      <c r="J58" s="67"/>
      <c r="K58" s="15" t="str">
        <f t="shared" si="0"/>
        <v>Pass</v>
      </c>
      <c r="L58" s="15"/>
    </row>
    <row r="59" spans="1:12" s="4" customFormat="1" ht="18" customHeight="1">
      <c r="A59" s="59"/>
      <c r="B59" s="60"/>
      <c r="C59" s="61"/>
      <c r="D59" s="52" t="s">
        <v>52</v>
      </c>
      <c r="E59" s="62">
        <v>335</v>
      </c>
      <c r="F59" s="63"/>
      <c r="G59" s="16"/>
      <c r="H59" s="16"/>
      <c r="I59" s="66"/>
      <c r="J59" s="67"/>
      <c r="K59" s="15" t="str">
        <f t="shared" si="0"/>
        <v>Pass</v>
      </c>
      <c r="L59" s="15"/>
    </row>
    <row r="60" spans="1:12" s="4" customFormat="1" ht="18" customHeight="1">
      <c r="A60" s="53" t="s">
        <v>56</v>
      </c>
      <c r="B60" s="54"/>
      <c r="C60" s="55"/>
      <c r="D60" s="52" t="s">
        <v>50</v>
      </c>
      <c r="E60" s="62">
        <v>334</v>
      </c>
      <c r="F60" s="63"/>
      <c r="G60" s="16"/>
      <c r="H60" s="16"/>
      <c r="I60" s="66"/>
      <c r="J60" s="67"/>
      <c r="K60" s="15" t="str">
        <f t="shared" si="0"/>
        <v>Pass</v>
      </c>
      <c r="L60" s="15"/>
    </row>
    <row r="61" spans="1:12" s="4" customFormat="1" ht="18" customHeight="1">
      <c r="A61" s="56"/>
      <c r="B61" s="57"/>
      <c r="C61" s="58"/>
      <c r="D61" s="52" t="s">
        <v>51</v>
      </c>
      <c r="E61" s="62">
        <v>332</v>
      </c>
      <c r="F61" s="63"/>
      <c r="G61" s="16"/>
      <c r="H61" s="16"/>
      <c r="I61" s="66"/>
      <c r="J61" s="67"/>
      <c r="K61" s="15" t="str">
        <f t="shared" si="0"/>
        <v>Pass</v>
      </c>
      <c r="L61" s="15"/>
    </row>
    <row r="62" spans="1:12" s="4" customFormat="1" ht="18" customHeight="1">
      <c r="A62" s="59"/>
      <c r="B62" s="60"/>
      <c r="C62" s="61"/>
      <c r="D62" s="52" t="s">
        <v>52</v>
      </c>
      <c r="E62" s="62">
        <v>334</v>
      </c>
      <c r="F62" s="63"/>
      <c r="G62" s="16"/>
      <c r="H62" s="16"/>
      <c r="I62" s="66"/>
      <c r="J62" s="67"/>
      <c r="K62" s="15" t="str">
        <f t="shared" si="0"/>
        <v>Pass</v>
      </c>
      <c r="L62" s="15"/>
    </row>
    <row r="63" spans="1:12" s="4" customFormat="1" ht="18" customHeight="1">
      <c r="A63" s="53" t="s">
        <v>57</v>
      </c>
      <c r="B63" s="54"/>
      <c r="C63" s="55"/>
      <c r="D63" s="52" t="s">
        <v>50</v>
      </c>
      <c r="E63" s="62">
        <v>335</v>
      </c>
      <c r="F63" s="63"/>
      <c r="G63" s="16"/>
      <c r="H63" s="16"/>
      <c r="I63" s="66"/>
      <c r="J63" s="67"/>
      <c r="K63" s="15" t="str">
        <f t="shared" si="0"/>
        <v>Pass</v>
      </c>
      <c r="L63" s="15"/>
    </row>
    <row r="64" spans="1:12" s="4" customFormat="1" ht="18" customHeight="1">
      <c r="A64" s="56"/>
      <c r="B64" s="57"/>
      <c r="C64" s="58"/>
      <c r="D64" s="52" t="s">
        <v>51</v>
      </c>
      <c r="E64" s="62">
        <v>331</v>
      </c>
      <c r="F64" s="63"/>
      <c r="G64" s="16"/>
      <c r="H64" s="16"/>
      <c r="I64" s="66"/>
      <c r="J64" s="67"/>
      <c r="K64" s="15" t="str">
        <f t="shared" si="0"/>
        <v>Pass</v>
      </c>
      <c r="L64" s="15"/>
    </row>
    <row r="65" spans="1:12" s="4" customFormat="1" ht="18" customHeight="1">
      <c r="A65" s="59"/>
      <c r="B65" s="60"/>
      <c r="C65" s="61"/>
      <c r="D65" s="52" t="s">
        <v>52</v>
      </c>
      <c r="E65" s="62">
        <v>334</v>
      </c>
      <c r="F65" s="63"/>
      <c r="G65" s="16"/>
      <c r="H65" s="16"/>
      <c r="I65" s="66"/>
      <c r="J65" s="67"/>
      <c r="K65" s="15" t="str">
        <f t="shared" si="0"/>
        <v>Pass</v>
      </c>
      <c r="L65" s="15"/>
    </row>
    <row r="66" spans="1:12" s="4" customFormat="1" ht="18" customHeight="1">
      <c r="A66" s="53" t="s">
        <v>58</v>
      </c>
      <c r="B66" s="54"/>
      <c r="C66" s="55"/>
      <c r="D66" s="52" t="s">
        <v>50</v>
      </c>
      <c r="E66" s="62">
        <v>334</v>
      </c>
      <c r="F66" s="63"/>
      <c r="G66" s="16"/>
      <c r="H66" s="16"/>
      <c r="I66" s="66"/>
      <c r="J66" s="67"/>
      <c r="K66" s="15" t="str">
        <f t="shared" si="0"/>
        <v>Pass</v>
      </c>
      <c r="L66" s="15"/>
    </row>
    <row r="67" spans="1:12" s="4" customFormat="1" ht="18" customHeight="1">
      <c r="A67" s="56"/>
      <c r="B67" s="57"/>
      <c r="C67" s="58"/>
      <c r="D67" s="52" t="s">
        <v>51</v>
      </c>
      <c r="E67" s="62">
        <v>331</v>
      </c>
      <c r="F67" s="63"/>
      <c r="G67" s="16"/>
      <c r="H67" s="16"/>
      <c r="I67" s="66"/>
      <c r="J67" s="67"/>
      <c r="K67" s="15" t="str">
        <f t="shared" si="0"/>
        <v>Pass</v>
      </c>
      <c r="L67" s="15"/>
    </row>
    <row r="68" spans="1:12" s="4" customFormat="1" ht="18" customHeight="1">
      <c r="A68" s="59"/>
      <c r="B68" s="60"/>
      <c r="C68" s="61"/>
      <c r="D68" s="52" t="s">
        <v>52</v>
      </c>
      <c r="E68" s="62">
        <v>335</v>
      </c>
      <c r="F68" s="63"/>
      <c r="G68" s="16"/>
      <c r="H68" s="16"/>
      <c r="I68" s="66"/>
      <c r="J68" s="67"/>
      <c r="K68" s="15" t="str">
        <f t="shared" si="0"/>
        <v>Pass</v>
      </c>
      <c r="L68" s="15"/>
    </row>
    <row r="69" spans="1:12" s="4" customFormat="1" ht="18" customHeight="1">
      <c r="A69" s="53" t="s">
        <v>59</v>
      </c>
      <c r="B69" s="54"/>
      <c r="C69" s="55"/>
      <c r="D69" s="52" t="s">
        <v>50</v>
      </c>
      <c r="E69" s="62">
        <v>335</v>
      </c>
      <c r="F69" s="63"/>
      <c r="G69" s="16"/>
      <c r="H69" s="16"/>
      <c r="I69" s="66"/>
      <c r="J69" s="67"/>
      <c r="K69" s="15" t="str">
        <f t="shared" si="0"/>
        <v>Pass</v>
      </c>
      <c r="L69" s="15"/>
    </row>
    <row r="70" spans="1:12" s="4" customFormat="1" ht="18" customHeight="1">
      <c r="A70" s="56"/>
      <c r="B70" s="57"/>
      <c r="C70" s="58"/>
      <c r="D70" s="52" t="s">
        <v>51</v>
      </c>
      <c r="E70" s="62">
        <v>331</v>
      </c>
      <c r="F70" s="63"/>
      <c r="G70" s="16"/>
      <c r="H70" s="16"/>
      <c r="I70" s="66"/>
      <c r="J70" s="67"/>
      <c r="K70" s="15" t="str">
        <f t="shared" si="0"/>
        <v>Pass</v>
      </c>
      <c r="L70" s="15"/>
    </row>
    <row r="71" spans="1:12" s="4" customFormat="1" ht="18" customHeight="1">
      <c r="A71" s="59"/>
      <c r="B71" s="60"/>
      <c r="C71" s="61"/>
      <c r="D71" s="52" t="s">
        <v>52</v>
      </c>
      <c r="E71" s="62">
        <v>335</v>
      </c>
      <c r="F71" s="63"/>
      <c r="G71" s="16"/>
      <c r="H71" s="16"/>
      <c r="I71" s="66"/>
      <c r="J71" s="67"/>
      <c r="K71" s="15" t="str">
        <f t="shared" si="0"/>
        <v>Pass</v>
      </c>
      <c r="L71" s="15"/>
    </row>
    <row r="72" spans="1:12" s="4" customFormat="1" ht="18" customHeight="1">
      <c r="A72" s="53" t="s">
        <v>49</v>
      </c>
      <c r="B72" s="54"/>
      <c r="C72" s="55"/>
      <c r="D72" s="52" t="s">
        <v>50</v>
      </c>
      <c r="E72" s="62">
        <v>334</v>
      </c>
      <c r="F72" s="63"/>
      <c r="G72" s="16"/>
      <c r="H72" s="16"/>
      <c r="I72" s="66"/>
      <c r="J72" s="67"/>
      <c r="K72" s="15" t="str">
        <f t="shared" si="0"/>
        <v>Pass</v>
      </c>
      <c r="L72" s="15"/>
    </row>
    <row r="73" spans="1:12" s="4" customFormat="1" ht="18" customHeight="1">
      <c r="A73" s="56"/>
      <c r="B73" s="57"/>
      <c r="C73" s="58"/>
      <c r="D73" s="52" t="s">
        <v>51</v>
      </c>
      <c r="E73" s="62">
        <v>332</v>
      </c>
      <c r="F73" s="63"/>
      <c r="G73" s="16"/>
      <c r="H73" s="16"/>
      <c r="I73" s="66"/>
      <c r="J73" s="67"/>
      <c r="K73" s="15" t="str">
        <f t="shared" si="0"/>
        <v>Pass</v>
      </c>
      <c r="L73" s="15"/>
    </row>
    <row r="74" spans="1:12" s="4" customFormat="1" ht="18" customHeight="1">
      <c r="A74" s="59"/>
      <c r="B74" s="60"/>
      <c r="C74" s="61"/>
      <c r="D74" s="52" t="s">
        <v>52</v>
      </c>
      <c r="E74" s="62">
        <v>334</v>
      </c>
      <c r="F74" s="63"/>
      <c r="G74" s="16"/>
      <c r="H74" s="16"/>
      <c r="I74" s="66"/>
      <c r="J74" s="67"/>
      <c r="K74" s="15" t="str">
        <f t="shared" si="0"/>
        <v>Pass</v>
      </c>
      <c r="L74" s="15"/>
    </row>
    <row r="75" spans="1:12" s="4" customFormat="1" ht="18" customHeight="1">
      <c r="A75" s="53" t="s">
        <v>60</v>
      </c>
      <c r="B75" s="54"/>
      <c r="C75" s="55"/>
      <c r="D75" s="52" t="s">
        <v>50</v>
      </c>
      <c r="E75" s="62">
        <v>334</v>
      </c>
      <c r="F75" s="63"/>
      <c r="G75" s="16"/>
      <c r="H75" s="16"/>
      <c r="I75" s="66"/>
      <c r="J75" s="67"/>
      <c r="K75" s="15" t="str">
        <f t="shared" si="0"/>
        <v>Pass</v>
      </c>
      <c r="L75" s="15"/>
    </row>
    <row r="76" spans="1:12" s="4" customFormat="1" ht="18" customHeight="1">
      <c r="A76" s="56"/>
      <c r="B76" s="57"/>
      <c r="C76" s="58"/>
      <c r="D76" s="52" t="s">
        <v>51</v>
      </c>
      <c r="E76" s="62">
        <v>332</v>
      </c>
      <c r="F76" s="63"/>
      <c r="G76" s="16"/>
      <c r="H76" s="16"/>
      <c r="I76" s="66"/>
      <c r="J76" s="67"/>
      <c r="K76" s="15" t="str">
        <f t="shared" si="0"/>
        <v>Pass</v>
      </c>
      <c r="L76" s="15"/>
    </row>
    <row r="77" spans="1:12" s="4" customFormat="1" ht="18" customHeight="1">
      <c r="A77" s="59"/>
      <c r="B77" s="60"/>
      <c r="C77" s="61"/>
      <c r="D77" s="52" t="s">
        <v>52</v>
      </c>
      <c r="E77" s="62">
        <v>335</v>
      </c>
      <c r="F77" s="63"/>
      <c r="G77" s="16"/>
      <c r="H77" s="16"/>
      <c r="I77" s="66"/>
      <c r="J77" s="67"/>
      <c r="K77" s="15" t="str">
        <f t="shared" si="0"/>
        <v>Pass</v>
      </c>
      <c r="L77" s="15"/>
    </row>
    <row r="78" spans="1:12" s="4" customFormat="1" ht="18" customHeight="1">
      <c r="A78" s="53" t="s">
        <v>61</v>
      </c>
      <c r="B78" s="54"/>
      <c r="C78" s="55"/>
      <c r="D78" s="52" t="s">
        <v>50</v>
      </c>
      <c r="E78" s="62">
        <v>334</v>
      </c>
      <c r="F78" s="63"/>
      <c r="G78" s="16"/>
      <c r="H78" s="16"/>
      <c r="I78" s="66"/>
      <c r="J78" s="67"/>
      <c r="K78" s="15" t="str">
        <f t="shared" si="0"/>
        <v>Pass</v>
      </c>
      <c r="L78" s="15"/>
    </row>
    <row r="79" spans="1:12" s="4" customFormat="1" ht="18" customHeight="1">
      <c r="A79" s="56"/>
      <c r="B79" s="57"/>
      <c r="C79" s="58"/>
      <c r="D79" s="52" t="s">
        <v>51</v>
      </c>
      <c r="E79" s="62">
        <v>332</v>
      </c>
      <c r="F79" s="63"/>
      <c r="G79" s="16"/>
      <c r="H79" s="16"/>
      <c r="I79" s="66"/>
      <c r="J79" s="67"/>
      <c r="K79" s="15" t="str">
        <f t="shared" si="0"/>
        <v>Pass</v>
      </c>
      <c r="L79" s="15"/>
    </row>
    <row r="80" spans="1:12" s="4" customFormat="1" ht="18" customHeight="1">
      <c r="A80" s="59"/>
      <c r="B80" s="60"/>
      <c r="C80" s="61"/>
      <c r="D80" s="52" t="s">
        <v>52</v>
      </c>
      <c r="E80" s="62">
        <v>334</v>
      </c>
      <c r="F80" s="63"/>
      <c r="G80" s="16"/>
      <c r="H80" s="16"/>
      <c r="I80" s="66"/>
      <c r="J80" s="67"/>
      <c r="K80" s="15" t="str">
        <f t="shared" si="0"/>
        <v>Pass</v>
      </c>
      <c r="L80" s="15"/>
    </row>
    <row r="81" spans="1:12" s="4" customFormat="1" ht="18" customHeight="1">
      <c r="A81" s="53" t="s">
        <v>62</v>
      </c>
      <c r="B81" s="54"/>
      <c r="C81" s="55"/>
      <c r="D81" s="52" t="s">
        <v>50</v>
      </c>
      <c r="E81" s="62">
        <v>335</v>
      </c>
      <c r="F81" s="63"/>
      <c r="G81" s="16"/>
      <c r="H81" s="16"/>
      <c r="I81" s="66"/>
      <c r="J81" s="67"/>
      <c r="K81" s="15" t="str">
        <f t="shared" si="0"/>
        <v>Pass</v>
      </c>
      <c r="L81" s="15"/>
    </row>
    <row r="82" spans="1:12" s="4" customFormat="1" ht="18" customHeight="1">
      <c r="A82" s="56"/>
      <c r="B82" s="57"/>
      <c r="C82" s="58"/>
      <c r="D82" s="52" t="s">
        <v>51</v>
      </c>
      <c r="E82" s="62">
        <v>331</v>
      </c>
      <c r="F82" s="63"/>
      <c r="G82" s="16"/>
      <c r="H82" s="16"/>
      <c r="I82" s="66"/>
      <c r="J82" s="67"/>
      <c r="K82" s="15" t="str">
        <f t="shared" si="0"/>
        <v>Pass</v>
      </c>
      <c r="L82" s="15"/>
    </row>
    <row r="83" spans="1:12" s="4" customFormat="1" ht="18" customHeight="1">
      <c r="A83" s="59"/>
      <c r="B83" s="60"/>
      <c r="C83" s="61"/>
      <c r="D83" s="52" t="s">
        <v>52</v>
      </c>
      <c r="E83" s="62">
        <v>334</v>
      </c>
      <c r="F83" s="63"/>
      <c r="G83" s="16"/>
      <c r="H83" s="16"/>
      <c r="I83" s="68"/>
      <c r="J83" s="69"/>
      <c r="K83" s="15" t="str">
        <f t="shared" si="0"/>
        <v>Pass</v>
      </c>
      <c r="L83" s="15"/>
    </row>
    <row r="84" spans="1:12" s="4" customFormat="1" ht="18" customHeight="1">
      <c r="A84" s="49"/>
      <c r="B84" s="49"/>
      <c r="C84" s="50"/>
      <c r="D84" s="50"/>
      <c r="E84" s="50"/>
      <c r="F84" s="50"/>
      <c r="G84" s="44"/>
      <c r="H84" s="44"/>
      <c r="I84" s="51"/>
      <c r="J84" s="51"/>
      <c r="K84" s="13"/>
      <c r="L84" s="13"/>
    </row>
    <row r="85" spans="1:12" s="4" customFormat="1" ht="15.6">
      <c r="A85" s="22" t="s">
        <v>21</v>
      </c>
      <c r="B85" s="22"/>
      <c r="C85" s="22"/>
      <c r="D85" s="22"/>
      <c r="E85" s="22"/>
      <c r="F85" s="22"/>
      <c r="G85" s="22"/>
      <c r="H85" s="22"/>
      <c r="I85" s="22"/>
      <c r="J85" s="22"/>
      <c r="K85" s="22"/>
      <c r="L85" s="22"/>
    </row>
    <row r="86" spans="1:12" s="4" customFormat="1" ht="18" customHeight="1">
      <c r="A86" s="23" t="s">
        <v>66</v>
      </c>
      <c r="B86" s="24"/>
      <c r="C86" s="24"/>
      <c r="D86" s="24"/>
      <c r="E86" s="24"/>
      <c r="F86" s="24"/>
      <c r="G86" s="24"/>
      <c r="H86" s="24"/>
      <c r="I86" s="24"/>
      <c r="J86" s="24"/>
      <c r="K86" s="24"/>
      <c r="L86" s="24"/>
    </row>
    <row r="87" spans="1:12" s="4" customFormat="1" ht="18" customHeight="1">
      <c r="A87" s="24"/>
      <c r="B87" s="24"/>
      <c r="C87" s="24"/>
      <c r="D87" s="24"/>
      <c r="E87" s="24"/>
      <c r="F87" s="24"/>
      <c r="G87" s="24"/>
      <c r="H87" s="24"/>
      <c r="I87" s="24"/>
      <c r="J87" s="24"/>
      <c r="K87" s="24"/>
      <c r="L87" s="24"/>
    </row>
    <row r="88" spans="1:12" s="4" customFormat="1" ht="18" customHeight="1">
      <c r="A88" s="24"/>
      <c r="B88" s="24"/>
      <c r="C88" s="24"/>
      <c r="D88" s="24"/>
      <c r="E88" s="24"/>
      <c r="F88" s="24"/>
      <c r="G88" s="24"/>
      <c r="H88" s="24"/>
      <c r="I88" s="24"/>
      <c r="J88" s="24"/>
      <c r="K88" s="24"/>
      <c r="L88" s="24"/>
    </row>
    <row r="89" spans="1:12" s="6" customFormat="1" ht="18" customHeight="1">
      <c r="A89" s="6" t="s">
        <v>23</v>
      </c>
      <c r="H89" s="6" t="s">
        <v>23</v>
      </c>
    </row>
    <row r="90" spans="1:12" s="4" customFormat="1" ht="18" customHeight="1">
      <c r="A90" s="6"/>
      <c r="B90" s="6"/>
      <c r="C90" s="6"/>
      <c r="H90" s="6"/>
      <c r="I90" s="6"/>
      <c r="J90" s="6"/>
    </row>
    <row r="91" spans="1:12" s="4" customFormat="1" ht="18" customHeight="1" thickBot="1">
      <c r="A91" s="17"/>
      <c r="B91" s="17"/>
      <c r="C91" s="17"/>
      <c r="H91" s="17" t="s">
        <v>68</v>
      </c>
      <c r="I91" s="17"/>
      <c r="J91" s="17"/>
    </row>
    <row r="92" spans="1:12" s="4" customFormat="1" ht="18" customHeight="1">
      <c r="A92" s="18" t="s">
        <v>67</v>
      </c>
      <c r="B92" s="18"/>
      <c r="C92" s="18"/>
      <c r="H92" s="18" t="s">
        <v>8</v>
      </c>
      <c r="I92" s="18"/>
      <c r="J92" s="18"/>
    </row>
    <row r="93" spans="1:12" s="4" customFormat="1" ht="18" customHeight="1"/>
    <row r="94" spans="1:12" s="5" customFormat="1" ht="18" customHeight="1"/>
    <row r="95" spans="1:12" s="5" customFormat="1" ht="18" customHeight="1"/>
    <row r="96" spans="1:12" s="5" customFormat="1" ht="18" customHeight="1"/>
    <row r="97" spans="4:12" s="5" customFormat="1" ht="18" customHeight="1"/>
    <row r="98" spans="4:12" s="5" customFormat="1" ht="18" customHeight="1"/>
    <row r="99" spans="4:12" s="5" customFormat="1" ht="18" customHeight="1"/>
    <row r="100" spans="4:12" s="4" customFormat="1" ht="18" customHeight="1"/>
    <row r="101" spans="4:12" s="4" customFormat="1" ht="18" customHeight="1"/>
    <row r="102" spans="4:12" s="4" customFormat="1" ht="18" customHeight="1"/>
    <row r="105" spans="4:12" s="6" customFormat="1" ht="18" customHeight="1"/>
    <row r="106" spans="4:12" s="6" customFormat="1" ht="18" customHeight="1"/>
    <row r="107" spans="4:12" s="6" customFormat="1" ht="18" customHeight="1">
      <c r="I107" s="19"/>
      <c r="J107" s="19"/>
      <c r="K107" s="19"/>
      <c r="L107" s="19"/>
    </row>
    <row r="108" spans="4:12" s="6" customFormat="1" ht="18" customHeight="1">
      <c r="D108" s="7"/>
      <c r="E108" s="7"/>
    </row>
    <row r="109" spans="4:12" s="5" customFormat="1" ht="18" customHeight="1"/>
    <row r="110" spans="4:12" s="5" customFormat="1" ht="18" customHeight="1"/>
    <row r="111" spans="4:12" s="5" customFormat="1" ht="18" customHeight="1"/>
    <row r="112" spans="4:12" s="5" customFormat="1" ht="18" customHeight="1"/>
    <row r="113" s="5" customFormat="1" ht="18" customHeight="1"/>
    <row r="114" s="5" customFormat="1" ht="18" customHeight="1"/>
    <row r="115" s="5" customFormat="1" ht="18" customHeight="1"/>
    <row r="116" s="5" customFormat="1" ht="18" customHeight="1"/>
    <row r="117" s="5" customFormat="1" ht="18" customHeight="1"/>
    <row r="118" s="5" customFormat="1" ht="18" customHeight="1"/>
    <row r="119" s="5" customFormat="1" ht="18" customHeight="1"/>
    <row r="120" s="5" customFormat="1" ht="18" customHeight="1"/>
    <row r="121" s="5" customFormat="1" ht="21.6" customHeight="1"/>
    <row r="122" s="5" customFormat="1" ht="21.6" customHeight="1"/>
    <row r="123" s="5" customFormat="1" ht="21.6" customHeight="1"/>
    <row r="124" s="5" customFormat="1" ht="21.6" customHeight="1"/>
    <row r="125" s="5" customFormat="1" ht="21.6" customHeight="1"/>
    <row r="126" s="5" customFormat="1" ht="21.6" customHeight="1"/>
    <row r="127" s="5" customFormat="1" ht="21.6" customHeight="1"/>
    <row r="128" s="5" customFormat="1" ht="21.6" customHeight="1"/>
    <row r="129" s="5" customFormat="1" ht="21.6" customHeight="1"/>
    <row r="130" s="5" customFormat="1" ht="21.6" customHeight="1"/>
    <row r="131" s="5" customFormat="1" ht="21.6" customHeight="1"/>
    <row r="132" s="5" customFormat="1" ht="21.6" customHeight="1"/>
    <row r="133" s="5" customFormat="1" ht="21.6" customHeight="1"/>
    <row r="134" s="5" customFormat="1" ht="21.6" customHeight="1"/>
    <row r="135" s="5" customFormat="1" ht="21.6" customHeight="1"/>
    <row r="136" s="5" customFormat="1" ht="21.6" customHeight="1"/>
    <row r="137" s="5" customFormat="1" ht="21.6" customHeight="1"/>
    <row r="138" s="5" customFormat="1" ht="21.6" customHeight="1"/>
    <row r="139" s="5" customFormat="1" ht="14.25" customHeight="1"/>
    <row r="140" s="5" customFormat="1" ht="14.25" customHeight="1"/>
    <row r="141" s="5" customFormat="1" ht="14.25" customHeight="1"/>
    <row r="142" s="5" customFormat="1" ht="14.25" customHeight="1"/>
    <row r="143" s="5" customFormat="1" ht="14.25" customHeight="1"/>
    <row r="144" s="5" customFormat="1" ht="14.25" customHeight="1"/>
    <row r="145" s="5" customFormat="1" ht="14.25" customHeight="1"/>
    <row r="146" s="5" customFormat="1" ht="14.25" customHeight="1"/>
    <row r="147" s="5" customFormat="1" ht="14.25" customHeight="1"/>
    <row r="148" s="5" customFormat="1" ht="14.25" customHeight="1"/>
    <row r="149" s="5" customFormat="1" ht="14.25" customHeight="1"/>
    <row r="150" s="5" customFormat="1" ht="14.25" customHeight="1"/>
    <row r="151" s="5" customFormat="1" ht="14.25" customHeight="1"/>
    <row r="152" s="5" customFormat="1" ht="14.25" customHeight="1"/>
    <row r="153" s="5" customFormat="1" ht="14.25" customHeight="1"/>
    <row r="154" s="5" customFormat="1" ht="14.25" customHeight="1"/>
    <row r="155" s="5" customFormat="1" ht="14.25" customHeight="1"/>
    <row r="156" s="5" customFormat="1" ht="14.25" customHeight="1"/>
    <row r="157" s="5" customFormat="1" ht="14.25" customHeight="1"/>
    <row r="158" s="5" customFormat="1" ht="14.25" customHeight="1"/>
    <row r="159" s="5" customFormat="1" ht="14.25" customHeight="1"/>
    <row r="160" s="5" customFormat="1" ht="14.25" customHeight="1"/>
    <row r="161" s="5" customFormat="1" ht="14.25" customHeight="1"/>
    <row r="162" s="5" customFormat="1" ht="14.25" customHeight="1"/>
    <row r="163" s="5" customFormat="1" ht="14.25" customHeight="1"/>
    <row r="164" s="5" customFormat="1" ht="14.25" customHeight="1"/>
    <row r="165" s="5" customFormat="1" ht="14.25" customHeight="1"/>
    <row r="166" s="5" customFormat="1" ht="14.25" customHeight="1"/>
    <row r="167" s="5" customFormat="1" ht="14.25" customHeight="1"/>
    <row r="168" s="5" customFormat="1" ht="14.25" customHeight="1"/>
    <row r="169" s="5" customFormat="1" ht="14.25" customHeight="1"/>
    <row r="170" s="3" customFormat="1" ht="14.25" customHeight="1"/>
    <row r="171" s="3" customFormat="1" ht="14.25" customHeight="1"/>
    <row r="172" s="3" customFormat="1" ht="14.25" customHeight="1"/>
    <row r="173" s="3" customFormat="1" ht="14.25" customHeight="1"/>
    <row r="174" s="3" customFormat="1" ht="14.25" customHeight="1"/>
    <row r="175" s="3" customFormat="1" ht="14.25" customHeight="1"/>
  </sheetData>
  <sheetProtection formatCells="0" formatColumns="0" formatRows="0" insertColumns="0" insertRows="0" insertHyperlinks="0" deleteColumns="0" deleteRows="0" selectLockedCells="1" sort="0" autoFilter="0" pivotTables="0"/>
  <mergeCells count="162">
    <mergeCell ref="H92:J92"/>
    <mergeCell ref="H41:J41"/>
    <mergeCell ref="H42:J42"/>
    <mergeCell ref="E82:F82"/>
    <mergeCell ref="E83:F83"/>
    <mergeCell ref="I51:J83"/>
    <mergeCell ref="H91:J91"/>
    <mergeCell ref="E77:F77"/>
    <mergeCell ref="E78:F78"/>
    <mergeCell ref="E79:F79"/>
    <mergeCell ref="E80:F80"/>
    <mergeCell ref="E81:F81"/>
    <mergeCell ref="E72:F72"/>
    <mergeCell ref="E73:F73"/>
    <mergeCell ref="E74:F74"/>
    <mergeCell ref="E75:F75"/>
    <mergeCell ref="E76:F76"/>
    <mergeCell ref="E67:F67"/>
    <mergeCell ref="E68:F68"/>
    <mergeCell ref="E69:F69"/>
    <mergeCell ref="E70:F70"/>
    <mergeCell ref="E71:F71"/>
    <mergeCell ref="E62:F62"/>
    <mergeCell ref="E63:F63"/>
    <mergeCell ref="E64:F64"/>
    <mergeCell ref="E65:F65"/>
    <mergeCell ref="E66:F66"/>
    <mergeCell ref="K82:L82"/>
    <mergeCell ref="K83:L83"/>
    <mergeCell ref="A51:C53"/>
    <mergeCell ref="A54:C56"/>
    <mergeCell ref="A57:C59"/>
    <mergeCell ref="A60:C62"/>
    <mergeCell ref="A63:C65"/>
    <mergeCell ref="A66:C68"/>
    <mergeCell ref="A69:C71"/>
    <mergeCell ref="A72:C74"/>
    <mergeCell ref="A75:C77"/>
    <mergeCell ref="A78:C80"/>
    <mergeCell ref="A81:C83"/>
    <mergeCell ref="E51:F51"/>
    <mergeCell ref="E52:F52"/>
    <mergeCell ref="E53:F53"/>
    <mergeCell ref="K77:L77"/>
    <mergeCell ref="K78:L78"/>
    <mergeCell ref="K79:L79"/>
    <mergeCell ref="K80:L80"/>
    <mergeCell ref="K81:L81"/>
    <mergeCell ref="K72:L72"/>
    <mergeCell ref="K73:L73"/>
    <mergeCell ref="K74:L74"/>
    <mergeCell ref="K75:L75"/>
    <mergeCell ref="K76:L76"/>
    <mergeCell ref="K67:L67"/>
    <mergeCell ref="K68:L68"/>
    <mergeCell ref="K69:L69"/>
    <mergeCell ref="K70:L70"/>
    <mergeCell ref="K71:L71"/>
    <mergeCell ref="K62:L62"/>
    <mergeCell ref="K63:L63"/>
    <mergeCell ref="K64:L64"/>
    <mergeCell ref="K65:L65"/>
    <mergeCell ref="K66:L66"/>
    <mergeCell ref="K57:L57"/>
    <mergeCell ref="K58:L58"/>
    <mergeCell ref="K59:L59"/>
    <mergeCell ref="K60:L60"/>
    <mergeCell ref="K61:L61"/>
    <mergeCell ref="G51:H83"/>
    <mergeCell ref="E54:F54"/>
    <mergeCell ref="E55:F55"/>
    <mergeCell ref="E56:F56"/>
    <mergeCell ref="E57:F57"/>
    <mergeCell ref="E58:F58"/>
    <mergeCell ref="E59:F59"/>
    <mergeCell ref="E60:F60"/>
    <mergeCell ref="E61:F61"/>
    <mergeCell ref="G50:H50"/>
    <mergeCell ref="A50:D50"/>
    <mergeCell ref="K51:L51"/>
    <mergeCell ref="K52:L52"/>
    <mergeCell ref="K53:L53"/>
    <mergeCell ref="K54:L54"/>
    <mergeCell ref="G25:I25"/>
    <mergeCell ref="J25:L25"/>
    <mergeCell ref="C26:F26"/>
    <mergeCell ref="G26:I26"/>
    <mergeCell ref="J26:L26"/>
    <mergeCell ref="A6:L6"/>
    <mergeCell ref="A1:L1"/>
    <mergeCell ref="A3:L3"/>
    <mergeCell ref="A5:B5"/>
    <mergeCell ref="C5:H5"/>
    <mergeCell ref="J5:L5"/>
    <mergeCell ref="A7:B7"/>
    <mergeCell ref="C7:L7"/>
    <mergeCell ref="A8:B8"/>
    <mergeCell ref="C8:L8"/>
    <mergeCell ref="A9:B9"/>
    <mergeCell ref="C9:L9"/>
    <mergeCell ref="A16:B16"/>
    <mergeCell ref="C16:F16"/>
    <mergeCell ref="G16:H16"/>
    <mergeCell ref="I16:L16"/>
    <mergeCell ref="A10:L10"/>
    <mergeCell ref="A11:B11"/>
    <mergeCell ref="C11:L11"/>
    <mergeCell ref="A12:B12"/>
    <mergeCell ref="C12:L12"/>
    <mergeCell ref="A13:B13"/>
    <mergeCell ref="C13:L13"/>
    <mergeCell ref="A14:L14"/>
    <mergeCell ref="A15:B15"/>
    <mergeCell ref="C15:F15"/>
    <mergeCell ref="G15:H15"/>
    <mergeCell ref="I15:L15"/>
    <mergeCell ref="A17:B17"/>
    <mergeCell ref="C17:F17"/>
    <mergeCell ref="G17:H17"/>
    <mergeCell ref="I17:L17"/>
    <mergeCell ref="A18:B18"/>
    <mergeCell ref="C18:F18"/>
    <mergeCell ref="G18:H18"/>
    <mergeCell ref="I18:L18"/>
    <mergeCell ref="A29:B29"/>
    <mergeCell ref="C29:F29"/>
    <mergeCell ref="G29:H29"/>
    <mergeCell ref="I29:L29"/>
    <mergeCell ref="A19:L19"/>
    <mergeCell ref="C20:F20"/>
    <mergeCell ref="I20:L20"/>
    <mergeCell ref="A21:B21"/>
    <mergeCell ref="C21:L21"/>
    <mergeCell ref="A22:L22"/>
    <mergeCell ref="A23:B23"/>
    <mergeCell ref="C23:L23"/>
    <mergeCell ref="A24:B24"/>
    <mergeCell ref="C24:L24"/>
    <mergeCell ref="A28:L28"/>
    <mergeCell ref="C25:F25"/>
    <mergeCell ref="A44:L44"/>
    <mergeCell ref="A30:B30"/>
    <mergeCell ref="C30:F30"/>
    <mergeCell ref="G30:H30"/>
    <mergeCell ref="I30:L30"/>
    <mergeCell ref="C31:L31"/>
    <mergeCell ref="A41:C41"/>
    <mergeCell ref="A42:C42"/>
    <mergeCell ref="A33:L38"/>
    <mergeCell ref="A91:C91"/>
    <mergeCell ref="A92:C92"/>
    <mergeCell ref="I107:L107"/>
    <mergeCell ref="A45:L45"/>
    <mergeCell ref="A46:L46"/>
    <mergeCell ref="A85:L85"/>
    <mergeCell ref="A86:L88"/>
    <mergeCell ref="A48:L48"/>
    <mergeCell ref="E50:F50"/>
    <mergeCell ref="I50:J50"/>
    <mergeCell ref="K50:L50"/>
    <mergeCell ref="K55:L55"/>
    <mergeCell ref="K56:L56"/>
  </mergeCells>
  <phoneticPr fontId="18" type="noConversion"/>
  <conditionalFormatting sqref="C5:H5 J5:L5 C11:L13 C16:F18 C20:F20 I20:L20 C21:L21 C30 C31:L31 C15 I15:L18">
    <cfRule type="containsBlanks" dxfId="3" priority="4">
      <formula>LEN(TRIM(C5))=0</formula>
    </cfRule>
  </conditionalFormatting>
  <conditionalFormatting sqref="A86:L88">
    <cfRule type="containsBlanks" dxfId="2" priority="3">
      <formula>LEN(TRIM(A86))=0</formula>
    </cfRule>
  </conditionalFormatting>
  <conditionalFormatting sqref="I29:L29 C29:F29">
    <cfRule type="containsBlanks" dxfId="1" priority="2">
      <formula>LEN(TRIM(C29))=0</formula>
    </cfRule>
  </conditionalFormatting>
  <conditionalFormatting sqref="C26:L26">
    <cfRule type="containsBlanks" dxfId="0" priority="1">
      <formula>LEN(TRIM(C26))=0</formula>
    </cfRule>
  </conditionalFormatting>
  <printOptions horizontalCentered="1"/>
  <pageMargins left="0.25" right="0.25" top="0.25" bottom="0.5" header="0" footer="0.3"/>
  <pageSetup paperSize="9" scale="91" fitToWidth="0" orientation="portrait" horizontalDpi="4294967293" r:id="rId1"/>
  <headerFooter differentFirst="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
  <sheetViews>
    <sheetView workbookViewId="0"/>
  </sheetViews>
  <sheetFormatPr defaultRowHeight="14.4"/>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ICHROMA II</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TechNoob</dc:creator>
  <cp:lastModifiedBy>Safety Altamedica</cp:lastModifiedBy>
  <cp:lastPrinted>2025-05-28T08:25:12Z</cp:lastPrinted>
  <dcterms:created xsi:type="dcterms:W3CDTF">2018-02-08T06:52:58Z</dcterms:created>
  <dcterms:modified xsi:type="dcterms:W3CDTF">2025-09-18T07:04:26Z</dcterms:modified>
</cp:coreProperties>
</file>