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My Drive\Technical Forms\CAL_PM TEMPLATE\Calibration Template\"/>
    </mc:Choice>
  </mc:AlternateContent>
  <bookViews>
    <workbookView minimized="1" xWindow="-120" yWindow="-120" windowWidth="20730" windowHeight="11160"/>
  </bookViews>
  <sheets>
    <sheet name="Blank Template" sheetId="6" r:id="rId1"/>
    <sheet name="Sheet1"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2" i="6" l="1"/>
  <c r="I5" i="6"/>
  <c r="A49" i="6"/>
  <c r="C5" i="6"/>
  <c r="A48" i="6" l="1"/>
</calcChain>
</file>

<file path=xl/comments1.xml><?xml version="1.0" encoding="utf-8"?>
<comments xmlns="http://schemas.openxmlformats.org/spreadsheetml/2006/main">
  <authors>
    <author>TechNoob4</author>
  </authors>
  <commentList>
    <comment ref="C5" authorId="0" shapeId="0">
      <text>
        <r>
          <rPr>
            <b/>
            <sz val="20"/>
            <color indexed="81"/>
            <rFont val="Tahoma"/>
            <family val="2"/>
          </rPr>
          <t xml:space="preserve">CERT NUMBER </t>
        </r>
      </text>
    </comment>
    <comment ref="J5" authorId="0" shapeId="0">
      <text>
        <r>
          <rPr>
            <b/>
            <sz val="18"/>
            <color indexed="81"/>
            <rFont val="Tahoma"/>
            <family val="2"/>
          </rPr>
          <t>Date Here!</t>
        </r>
      </text>
    </comment>
    <comment ref="C29" authorId="0" shapeId="0">
      <text>
        <r>
          <rPr>
            <b/>
            <sz val="18"/>
            <color indexed="81"/>
            <rFont val="Tahoma"/>
            <family val="2"/>
          </rPr>
          <t>REMARKS!</t>
        </r>
      </text>
    </comment>
  </commentList>
</comments>
</file>

<file path=xl/sharedStrings.xml><?xml version="1.0" encoding="utf-8"?>
<sst xmlns="http://schemas.openxmlformats.org/spreadsheetml/2006/main" count="88" uniqueCount="75">
  <si>
    <t>Noted by:</t>
  </si>
  <si>
    <t>Equipment:</t>
  </si>
  <si>
    <t>Model:</t>
  </si>
  <si>
    <t>Serial Number:</t>
  </si>
  <si>
    <t>Distributor:</t>
  </si>
  <si>
    <t>Material(s) used:</t>
  </si>
  <si>
    <t>Service Engineer</t>
  </si>
  <si>
    <t>Address:</t>
  </si>
  <si>
    <t>Contact Number:</t>
  </si>
  <si>
    <t>Calibration Date:</t>
  </si>
  <si>
    <t>Calibration Due:</t>
  </si>
  <si>
    <t>Technical Manager</t>
  </si>
  <si>
    <t>Room Temperature:</t>
  </si>
  <si>
    <t>Relative Humidity:</t>
  </si>
  <si>
    <t>CERTIFICATE OF CALIBRATION</t>
  </si>
  <si>
    <t>Method(s):</t>
  </si>
  <si>
    <t>Manufacturer:</t>
  </si>
  <si>
    <t>Performed at:</t>
  </si>
  <si>
    <t>Company Name:</t>
  </si>
  <si>
    <t>Tel#: (033) 508 0208 / (033) 333 1769, Fax#: (033) 508 0208</t>
  </si>
  <si>
    <t>As received:</t>
  </si>
  <si>
    <t>As Released:</t>
  </si>
  <si>
    <t>Procedure(s):</t>
  </si>
  <si>
    <t>Conditions/Analysis:</t>
  </si>
  <si>
    <t>Altamedica Incorporated</t>
  </si>
  <si>
    <t>Remarks</t>
  </si>
  <si>
    <r>
      <rPr>
        <b/>
        <sz val="18"/>
        <color rgb="FF0B2469"/>
        <rFont val="Arial Black"/>
        <family val="2"/>
      </rPr>
      <t>A L T A M E D I C A  I N C O R P O R A T E D</t>
    </r>
    <r>
      <rPr>
        <b/>
        <sz val="11"/>
        <color rgb="FF0B2469"/>
        <rFont val="Arial Black"/>
        <family val="2"/>
      </rPr>
      <t xml:space="preserve">
</t>
    </r>
    <r>
      <rPr>
        <b/>
        <i/>
        <sz val="10"/>
        <color rgb="FF0B2469"/>
        <rFont val="Lucida Handwriting"/>
        <family val="4"/>
      </rPr>
      <t>Medical Products You Can Trust!</t>
    </r>
  </si>
  <si>
    <t>Performed by:</t>
  </si>
  <si>
    <t>Customer:</t>
  </si>
  <si>
    <t>Test Condition:</t>
  </si>
  <si>
    <t>Methods and Materials:</t>
  </si>
  <si>
    <t>Calibration Result:</t>
  </si>
  <si>
    <t xml:space="preserve">This report may not be reproduced, except in full, without the written approval of the Technical Manager. The results reported herein apply only to the calibration of the item described above, and no limitations of use apply to the calibrated unit. Although the calibrated item meets the specifications and performance at the time of calibration, due to any number of factors, the recommended due date of the item calibrated does not imply continuing confidence to specifications during the recommended interval.
</t>
  </si>
  <si>
    <t>Certificate Number:</t>
  </si>
  <si>
    <t>Manufacture Date:</t>
  </si>
  <si>
    <t>Description</t>
  </si>
  <si>
    <t>Serial Number / Lot Number</t>
  </si>
  <si>
    <t>Expiry</t>
  </si>
  <si>
    <t>Calibration Data</t>
  </si>
  <si>
    <t>199R Dicen St. Brgy., Bantud, Lapaz, Iloilo City</t>
  </si>
  <si>
    <t>Self-Check</t>
  </si>
  <si>
    <t>System Check</t>
  </si>
  <si>
    <t>Application Version:</t>
  </si>
  <si>
    <t>Firmware Version:</t>
  </si>
  <si>
    <t xml:space="preserve">OS Version: </t>
  </si>
  <si>
    <t xml:space="preserve">Memory: </t>
  </si>
  <si>
    <t xml:space="preserve">Lot Number: </t>
  </si>
  <si>
    <t xml:space="preserve">Expiry: </t>
  </si>
  <si>
    <t>Medicus Lipa</t>
  </si>
  <si>
    <t>CSI Events Center, Brgy. Sico, Lipa City, Batangas</t>
  </si>
  <si>
    <t>.</t>
  </si>
  <si>
    <t>Semi-Auto Flourescence Instrument</t>
  </si>
  <si>
    <t>IR2RG024352</t>
  </si>
  <si>
    <t>In good condition</t>
  </si>
  <si>
    <t>2021.07.02</t>
  </si>
  <si>
    <t xml:space="preserve">Boidtech Med Inc. </t>
  </si>
  <si>
    <t xml:space="preserve">Altamedica inc. </t>
  </si>
  <si>
    <r>
      <t>22</t>
    </r>
    <r>
      <rPr>
        <sz val="11"/>
        <color theme="1"/>
        <rFont val="Cambria"/>
        <family val="1"/>
      </rPr>
      <t>°</t>
    </r>
    <r>
      <rPr>
        <sz val="9.35"/>
        <color theme="1"/>
        <rFont val="Tahoma"/>
        <family val="2"/>
      </rPr>
      <t>C</t>
    </r>
  </si>
  <si>
    <t>System check cartridge and self check</t>
  </si>
  <si>
    <t>icHROMA II Work Instruction Manual</t>
  </si>
  <si>
    <t>System check cartridge</t>
  </si>
  <si>
    <t>PFRSYTK09</t>
  </si>
  <si>
    <t>February 28, 2024</t>
  </si>
  <si>
    <t>February 28, 2025</t>
  </si>
  <si>
    <t>Machine is in good condition.</t>
  </si>
  <si>
    <t>Arvin O. Britos</t>
  </si>
  <si>
    <t>IR2.01.07.00</t>
  </si>
  <si>
    <t>FI2.WW.02.30</t>
  </si>
  <si>
    <t>O12.WW.01.10</t>
  </si>
  <si>
    <t>37MB/100MB</t>
  </si>
  <si>
    <t>November 8, 2025</t>
  </si>
  <si>
    <t>System Cartridge passed!</t>
  </si>
  <si>
    <t>February 29, 2024</t>
  </si>
  <si>
    <t>ICHROMA 11</t>
  </si>
  <si>
    <t>Engr. Rey Christopher A. Alipe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</si>
</sst>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409]mmmm\ d\,\ yyyy;@"/>
    <numFmt numFmtId="165" formatCode="0#############"/>
    <numFmt numFmtId="166" formatCode="#,##0\ &quot;°C&quot;"/>
    <numFmt numFmtId="167" formatCode="&quot;Certificate No.: &quot;############\ "/>
    <numFmt numFmtId="168" formatCode="&quot;Date of issue: &quot;mm/dd/yyyy"/>
    <numFmt numFmtId="169" formatCode="#,##0.00\ &quot;°C&quot;"/>
    <numFmt numFmtId="170" formatCode="m/d/yy;@"/>
  </numFmts>
  <fonts count="15" x14ac:knownFonts="1">
    <font>
      <sz val="11"/>
      <color theme="1"/>
      <name val="Calibri"/>
      <family val="2"/>
      <scheme val="minor"/>
    </font>
    <font>
      <sz val="11"/>
      <color theme="1"/>
      <name val="Times New Roman"/>
      <family val="1"/>
    </font>
    <font>
      <b/>
      <sz val="11"/>
      <color rgb="FF0B2469"/>
      <name val="Arial Black"/>
      <family val="2"/>
    </font>
    <font>
      <b/>
      <sz val="18"/>
      <color rgb="FF0B2469"/>
      <name val="Arial Black"/>
      <family val="2"/>
    </font>
    <font>
      <b/>
      <i/>
      <sz val="10"/>
      <color rgb="FF0B2469"/>
      <name val="Lucida Handwriting"/>
      <family val="4"/>
    </font>
    <font>
      <sz val="11"/>
      <color rgb="FF0B2469"/>
      <name val="Times New Roman"/>
      <family val="1"/>
    </font>
    <font>
      <b/>
      <sz val="14"/>
      <color theme="1"/>
      <name val="Tahoma"/>
      <family val="2"/>
    </font>
    <font>
      <sz val="11"/>
      <color theme="1"/>
      <name val="Tahoma"/>
      <family val="2"/>
    </font>
    <font>
      <b/>
      <sz val="11"/>
      <color theme="1"/>
      <name val="Tahoma"/>
      <family val="2"/>
    </font>
    <font>
      <b/>
      <sz val="18"/>
      <color indexed="81"/>
      <name val="Tahoma"/>
      <family val="2"/>
    </font>
    <font>
      <b/>
      <sz val="20"/>
      <color indexed="81"/>
      <name val="Tahoma"/>
      <family val="2"/>
    </font>
    <font>
      <sz val="11"/>
      <color theme="1"/>
      <name val="Calibri"/>
      <family val="2"/>
      <scheme val="minor"/>
    </font>
    <font>
      <sz val="12"/>
      <color theme="1"/>
      <name val="Calibri Light"/>
      <family val="2"/>
      <scheme val="major"/>
    </font>
    <font>
      <sz val="11"/>
      <color theme="1"/>
      <name val="Cambria"/>
      <family val="1"/>
    </font>
    <font>
      <sz val="9.35"/>
      <color theme="1"/>
      <name val="Tahoma"/>
      <family val="2"/>
    </font>
  </fonts>
  <fills count="3">
    <fill>
      <patternFill patternType="none"/>
    </fill>
    <fill>
      <patternFill patternType="gray125"/>
    </fill>
    <fill>
      <patternFill patternType="solid">
        <fgColor theme="4" tint="0.79998168889431442"/>
        <bgColor indexed="64"/>
      </patternFill>
    </fill>
  </fills>
  <borders count="8">
    <border>
      <left/>
      <right/>
      <top/>
      <bottom/>
      <diagonal/>
    </border>
    <border>
      <left/>
      <right/>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2">
    <xf numFmtId="0" fontId="0" fillId="0" borderId="0"/>
    <xf numFmtId="9" fontId="11" fillId="0" borderId="0" applyFont="0" applyFill="0" applyBorder="0" applyAlignment="0" applyProtection="0"/>
  </cellStyleXfs>
  <cellXfs count="59">
    <xf numFmtId="0" fontId="0" fillId="0" borderId="0" xfId="0"/>
    <xf numFmtId="0" fontId="1" fillId="0" borderId="0" xfId="0" applyFont="1" applyAlignment="1" applyProtection="1">
      <alignment vertical="center"/>
      <protection locked="0"/>
    </xf>
    <xf numFmtId="0" fontId="1" fillId="0" borderId="0" xfId="0" applyFont="1" applyAlignment="1">
      <alignment vertical="center"/>
    </xf>
    <xf numFmtId="0" fontId="7" fillId="0" borderId="0" xfId="0" applyFont="1" applyAlignment="1" applyProtection="1">
      <alignment vertical="center"/>
      <protection locked="0"/>
    </xf>
    <xf numFmtId="0" fontId="8" fillId="0" borderId="0" xfId="0" applyFont="1" applyAlignment="1" applyProtection="1">
      <alignment vertical="center"/>
      <protection locked="0"/>
    </xf>
    <xf numFmtId="14" fontId="7" fillId="0" borderId="0" xfId="0" applyNumberFormat="1" applyFont="1" applyAlignment="1" applyProtection="1">
      <alignment vertical="center"/>
      <protection locked="0"/>
    </xf>
    <xf numFmtId="0" fontId="7" fillId="0" borderId="0" xfId="0" applyFont="1" applyAlignment="1" applyProtection="1">
      <alignment horizontal="left" vertical="center"/>
      <protection locked="0"/>
    </xf>
    <xf numFmtId="168" fontId="7" fillId="0" borderId="0" xfId="0" applyNumberFormat="1" applyFont="1" applyAlignment="1" applyProtection="1">
      <alignment vertical="center"/>
      <protection locked="0"/>
    </xf>
    <xf numFmtId="0" fontId="7" fillId="0" borderId="0" xfId="0" applyFont="1" applyAlignment="1" applyProtection="1">
      <alignment horizontal="right" vertical="center"/>
      <protection locked="0"/>
    </xf>
    <xf numFmtId="0" fontId="7" fillId="0" borderId="0" xfId="0" applyFont="1" applyAlignment="1" applyProtection="1">
      <alignment horizontal="justify" vertical="justify" wrapText="1"/>
      <protection locked="0"/>
    </xf>
    <xf numFmtId="0" fontId="8" fillId="0" borderId="0" xfId="0" applyFont="1" applyAlignment="1" applyProtection="1">
      <alignment horizontal="center" vertical="center"/>
      <protection locked="0"/>
    </xf>
    <xf numFmtId="0" fontId="12" fillId="0" borderId="0" xfId="0" applyFont="1" applyAlignment="1">
      <alignment horizontal="left" vertical="top"/>
    </xf>
    <xf numFmtId="164" fontId="12" fillId="0" borderId="0" xfId="0" applyNumberFormat="1" applyFont="1" applyAlignment="1">
      <alignment horizontal="left" wrapText="1"/>
    </xf>
    <xf numFmtId="0" fontId="1" fillId="0" borderId="0" xfId="0" applyFont="1"/>
    <xf numFmtId="0" fontId="7" fillId="0" borderId="0" xfId="0" applyFont="1" applyAlignment="1">
      <alignment horizontal="center"/>
    </xf>
    <xf numFmtId="10" fontId="7" fillId="0" borderId="0" xfId="1" applyNumberFormat="1" applyFont="1" applyBorder="1" applyAlignment="1">
      <alignment horizontal="center"/>
    </xf>
    <xf numFmtId="0" fontId="12" fillId="0" borderId="0" xfId="0" applyFont="1" applyAlignment="1">
      <alignment horizontal="left" wrapText="1"/>
    </xf>
    <xf numFmtId="0" fontId="7" fillId="0" borderId="0" xfId="1" applyNumberFormat="1" applyFont="1" applyBorder="1" applyAlignment="1">
      <alignment horizontal="center"/>
    </xf>
    <xf numFmtId="169" fontId="7" fillId="0" borderId="0" xfId="0" applyNumberFormat="1" applyFont="1" applyAlignment="1" applyProtection="1">
      <alignment vertical="center"/>
      <protection locked="0"/>
    </xf>
    <xf numFmtId="0" fontId="7" fillId="0" borderId="3" xfId="0" applyFont="1" applyBorder="1" applyAlignment="1" applyProtection="1">
      <alignment horizontal="center" vertical="center"/>
      <protection locked="0"/>
    </xf>
    <xf numFmtId="0" fontId="2" fillId="0" borderId="0" xfId="0" applyFont="1" applyAlignment="1">
      <alignment horizontal="center" wrapText="1"/>
    </xf>
    <xf numFmtId="0" fontId="5" fillId="0" borderId="0" xfId="0" applyFont="1" applyAlignment="1">
      <alignment horizontal="center"/>
    </xf>
    <xf numFmtId="0" fontId="6" fillId="0" borderId="0" xfId="0" applyFont="1" applyAlignment="1" applyProtection="1">
      <alignment horizontal="center" vertical="center"/>
      <protection locked="0"/>
    </xf>
    <xf numFmtId="168" fontId="7" fillId="0" borderId="0" xfId="0" applyNumberFormat="1" applyFont="1" applyAlignment="1" applyProtection="1">
      <alignment horizontal="left" vertical="center" wrapText="1"/>
      <protection locked="0"/>
    </xf>
    <xf numFmtId="0" fontId="7" fillId="0" borderId="0" xfId="0" applyFont="1" applyAlignment="1" applyProtection="1">
      <alignment horizontal="left" vertical="center"/>
      <protection locked="0"/>
    </xf>
    <xf numFmtId="168" fontId="7" fillId="0" borderId="0" xfId="0" applyNumberFormat="1" applyFont="1" applyAlignment="1" applyProtection="1">
      <alignment horizontal="center" vertical="center"/>
      <protection locked="0"/>
    </xf>
    <xf numFmtId="0" fontId="8" fillId="2" borderId="0" xfId="0" applyFont="1" applyFill="1" applyAlignment="1" applyProtection="1">
      <alignment horizontal="left" vertical="center"/>
      <protection locked="0"/>
    </xf>
    <xf numFmtId="165" fontId="7" fillId="0" borderId="0" xfId="0" applyNumberFormat="1" applyFont="1" applyAlignment="1" applyProtection="1">
      <alignment horizontal="left" vertical="center"/>
      <protection locked="0"/>
    </xf>
    <xf numFmtId="166" fontId="7" fillId="0" borderId="0" xfId="0" applyNumberFormat="1" applyFont="1" applyAlignment="1" applyProtection="1">
      <alignment horizontal="left" vertical="center" wrapText="1"/>
      <protection locked="0"/>
    </xf>
    <xf numFmtId="10" fontId="7" fillId="0" borderId="0" xfId="0" applyNumberFormat="1" applyFont="1" applyAlignment="1" applyProtection="1">
      <alignment horizontal="left" vertical="center" wrapText="1"/>
      <protection locked="0"/>
    </xf>
    <xf numFmtId="49" fontId="7" fillId="0" borderId="0" xfId="0" applyNumberFormat="1" applyFont="1" applyAlignment="1" applyProtection="1">
      <alignment horizontal="left" vertical="center"/>
      <protection locked="0"/>
    </xf>
    <xf numFmtId="0" fontId="8" fillId="0" borderId="0" xfId="0" applyFont="1" applyAlignment="1" applyProtection="1">
      <alignment horizontal="left" vertical="center"/>
      <protection locked="0"/>
    </xf>
    <xf numFmtId="0" fontId="7" fillId="0" borderId="3" xfId="0" applyFont="1" applyBorder="1" applyAlignment="1" applyProtection="1">
      <alignment horizontal="center" vertical="center" wrapText="1"/>
      <protection locked="0"/>
    </xf>
    <xf numFmtId="0" fontId="7" fillId="0" borderId="5" xfId="0" applyFont="1" applyBorder="1" applyAlignment="1" applyProtection="1">
      <alignment horizontal="left" vertical="center" wrapText="1"/>
      <protection locked="0"/>
    </xf>
    <xf numFmtId="0" fontId="7" fillId="0" borderId="4" xfId="0" applyFont="1" applyBorder="1" applyAlignment="1" applyProtection="1">
      <alignment horizontal="left" vertical="center" wrapText="1"/>
      <protection locked="0"/>
    </xf>
    <xf numFmtId="0" fontId="7" fillId="0" borderId="6" xfId="0" applyFont="1" applyBorder="1" applyAlignment="1" applyProtection="1">
      <alignment horizontal="left" vertical="center" wrapText="1"/>
      <protection locked="0"/>
    </xf>
    <xf numFmtId="0" fontId="7" fillId="0" borderId="5" xfId="0"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6" xfId="0" applyFont="1" applyBorder="1" applyAlignment="1" applyProtection="1">
      <alignment horizontal="center" vertical="center"/>
      <protection locked="0"/>
    </xf>
    <xf numFmtId="164" fontId="7" fillId="0" borderId="5" xfId="0" applyNumberFormat="1" applyFont="1" applyBorder="1" applyAlignment="1" applyProtection="1">
      <alignment horizontal="center" vertical="center"/>
      <protection locked="0"/>
    </xf>
    <xf numFmtId="164" fontId="7" fillId="0" borderId="4" xfId="0" applyNumberFormat="1" applyFont="1" applyBorder="1" applyAlignment="1" applyProtection="1">
      <alignment horizontal="center" vertical="center"/>
      <protection locked="0"/>
    </xf>
    <xf numFmtId="164" fontId="7" fillId="0" borderId="6" xfId="0" applyNumberFormat="1" applyFont="1" applyBorder="1" applyAlignment="1" applyProtection="1">
      <alignment horizontal="center" vertical="center"/>
      <protection locked="0"/>
    </xf>
    <xf numFmtId="168" fontId="8" fillId="2" borderId="0" xfId="0" applyNumberFormat="1" applyFont="1" applyFill="1" applyAlignment="1" applyProtection="1">
      <alignment horizontal="left" vertical="center"/>
      <protection locked="0"/>
    </xf>
    <xf numFmtId="0" fontId="7" fillId="0" borderId="0" xfId="0" applyFont="1" applyAlignment="1" applyProtection="1">
      <alignment horizontal="left" vertical="top" wrapText="1"/>
      <protection locked="0"/>
    </xf>
    <xf numFmtId="167" fontId="7" fillId="0" borderId="0" xfId="0" applyNumberFormat="1" applyFont="1" applyAlignment="1" applyProtection="1">
      <alignment horizontal="center" vertical="center"/>
      <protection locked="0"/>
    </xf>
    <xf numFmtId="0" fontId="7" fillId="0" borderId="0" xfId="0" applyFont="1" applyAlignment="1" applyProtection="1">
      <alignment horizontal="justify" vertical="justify" wrapText="1"/>
      <protection locked="0"/>
    </xf>
    <xf numFmtId="0" fontId="7" fillId="0" borderId="1" xfId="0" applyFont="1" applyBorder="1" applyAlignment="1" applyProtection="1">
      <alignment horizontal="center" vertical="center"/>
      <protection locked="0"/>
    </xf>
    <xf numFmtId="0" fontId="8" fillId="0" borderId="2" xfId="0" applyFont="1" applyBorder="1" applyAlignment="1" applyProtection="1">
      <alignment horizontal="center" vertical="center"/>
      <protection locked="0"/>
    </xf>
    <xf numFmtId="164" fontId="7" fillId="0" borderId="0" xfId="0" applyNumberFormat="1" applyFont="1" applyAlignment="1" applyProtection="1">
      <alignment horizontal="left" vertical="center"/>
      <protection locked="0"/>
    </xf>
    <xf numFmtId="0" fontId="7" fillId="0" borderId="0" xfId="0" applyFont="1" applyAlignment="1" applyProtection="1">
      <alignment horizontal="center" vertical="center"/>
      <protection locked="0"/>
    </xf>
    <xf numFmtId="0" fontId="6" fillId="0" borderId="0" xfId="0" applyFont="1" applyAlignment="1" applyProtection="1">
      <alignment horizontal="center"/>
      <protection locked="0"/>
    </xf>
    <xf numFmtId="0" fontId="7" fillId="0" borderId="7" xfId="0" applyFont="1" applyBorder="1" applyAlignment="1" applyProtection="1">
      <alignment horizontal="left" vertical="center"/>
      <protection locked="0"/>
    </xf>
    <xf numFmtId="0" fontId="7" fillId="0" borderId="0" xfId="0" applyFont="1" applyBorder="1" applyAlignment="1" applyProtection="1">
      <alignment horizontal="center" vertical="center"/>
      <protection locked="0"/>
    </xf>
    <xf numFmtId="0" fontId="7" fillId="0" borderId="0" xfId="0" applyFont="1" applyBorder="1" applyAlignment="1" applyProtection="1">
      <alignment vertical="center"/>
      <protection locked="0"/>
    </xf>
    <xf numFmtId="0" fontId="1" fillId="0" borderId="0" xfId="0" applyFont="1" applyBorder="1"/>
    <xf numFmtId="0" fontId="0" fillId="0" borderId="0" xfId="0" applyBorder="1"/>
    <xf numFmtId="0" fontId="7" fillId="0" borderId="0" xfId="0" applyFont="1" applyBorder="1" applyAlignment="1" applyProtection="1">
      <alignment horizontal="left" vertical="center"/>
      <protection locked="0"/>
    </xf>
    <xf numFmtId="0" fontId="7" fillId="0" borderId="0" xfId="0" applyFont="1" applyAlignment="1">
      <alignment horizontal="left"/>
    </xf>
    <xf numFmtId="170" fontId="7" fillId="0" borderId="0" xfId="0" applyNumberFormat="1" applyFont="1" applyAlignment="1" applyProtection="1">
      <alignment vertical="center"/>
      <protection locked="0"/>
    </xf>
  </cellXfs>
  <cellStyles count="2">
    <cellStyle name="Normal" xfId="0" builtinId="0"/>
    <cellStyle name="Percent" xfId="1" builtinId="5"/>
  </cellStyles>
  <dxfs count="8">
    <dxf>
      <border>
        <left/>
        <bottom style="thin">
          <color auto="1"/>
        </bottom>
        <vertical/>
        <horizontal/>
      </border>
    </dxf>
    <dxf>
      <font>
        <color rgb="FFFF0000"/>
      </font>
    </dxf>
    <dxf>
      <font>
        <color rgb="FFFF0000"/>
      </font>
    </dxf>
    <dxf>
      <font>
        <color rgb="FFFF0000"/>
      </font>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s>
  <tableStyles count="0" defaultTableStyle="TableStyleMedium2" defaultPivotStyle="PivotStyleLight16"/>
  <colors>
    <mruColors>
      <color rgb="FF051131"/>
      <color rgb="FF0B2469"/>
      <color rgb="FF1138A7"/>
      <color rgb="FF1408B0"/>
      <color rgb="FF1C02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280147</xdr:colOff>
      <xdr:row>38</xdr:row>
      <xdr:rowOff>78442</xdr:rowOff>
    </xdr:from>
    <xdr:to>
      <xdr:col>2</xdr:col>
      <xdr:colOff>438709</xdr:colOff>
      <xdr:row>40</xdr:row>
      <xdr:rowOff>169702</xdr:rowOff>
    </xdr:to>
    <xdr:pic>
      <xdr:nvPicPr>
        <xdr:cNvPr id="3" name="Picture 2">
          <a:extLst>
            <a:ext uri="{FF2B5EF4-FFF2-40B4-BE49-F238E27FC236}">
              <a16:creationId xmlns:a16="http://schemas.microsoft.com/office/drawing/2014/main" xmlns="" id="{64021962-2D01-4FFD-80CA-FC8370A2ADB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100000"/>
                  </a14:imgEffect>
                  <a14:imgEffect>
                    <a14:brightnessContrast bright="6000" contrast="95000"/>
                  </a14:imgEffect>
                </a14:imgLayer>
              </a14:imgProps>
            </a:ext>
            <a:ext uri="{28A0092B-C50C-407E-A947-70E740481C1C}">
              <a14:useLocalDpi xmlns:a14="http://schemas.microsoft.com/office/drawing/2010/main" val="0"/>
            </a:ext>
          </a:extLst>
        </a:blip>
        <a:stretch>
          <a:fillRect/>
        </a:stretch>
      </xdr:blipFill>
      <xdr:spPr>
        <a:xfrm>
          <a:off x="280147" y="9368118"/>
          <a:ext cx="1536886" cy="528290"/>
        </a:xfrm>
        <a:prstGeom prst="rect">
          <a:avLst/>
        </a:prstGeom>
      </xdr:spPr>
    </xdr:pic>
    <xdr:clientData/>
  </xdr:twoCellAnchor>
  <xdr:twoCellAnchor editAs="oneCell">
    <xdr:from>
      <xdr:col>5</xdr:col>
      <xdr:colOff>9525</xdr:colOff>
      <xdr:row>0</xdr:row>
      <xdr:rowOff>19050</xdr:rowOff>
    </xdr:from>
    <xdr:to>
      <xdr:col>6</xdr:col>
      <xdr:colOff>239622</xdr:colOff>
      <xdr:row>0</xdr:row>
      <xdr:rowOff>601907</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78056"/>
        <a:stretch/>
      </xdr:blipFill>
      <xdr:spPr>
        <a:xfrm>
          <a:off x="3324225" y="19050"/>
          <a:ext cx="877797" cy="582857"/>
        </a:xfrm>
        <a:prstGeom prst="rect">
          <a:avLst/>
        </a:prstGeom>
      </xdr:spPr>
    </xdr:pic>
    <xdr:clientData/>
  </xdr:twoCellAnchor>
  <xdr:twoCellAnchor editAs="oneCell">
    <xdr:from>
      <xdr:col>0</xdr:col>
      <xdr:colOff>280148</xdr:colOff>
      <xdr:row>89</xdr:row>
      <xdr:rowOff>100852</xdr:rowOff>
    </xdr:from>
    <xdr:to>
      <xdr:col>2</xdr:col>
      <xdr:colOff>438710</xdr:colOff>
      <xdr:row>91</xdr:row>
      <xdr:rowOff>203319</xdr:rowOff>
    </xdr:to>
    <xdr:pic>
      <xdr:nvPicPr>
        <xdr:cNvPr id="4" name="Picture 3">
          <a:extLst>
            <a:ext uri="{FF2B5EF4-FFF2-40B4-BE49-F238E27FC236}">
              <a16:creationId xmlns:a16="http://schemas.microsoft.com/office/drawing/2014/main" xmlns="" id="{64021962-2D01-4FFD-80CA-FC8370A2ADB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100000"/>
                  </a14:imgEffect>
                  <a14:imgEffect>
                    <a14:brightnessContrast bright="6000" contrast="95000"/>
                  </a14:imgEffect>
                </a14:imgLayer>
              </a14:imgProps>
            </a:ext>
            <a:ext uri="{28A0092B-C50C-407E-A947-70E740481C1C}">
              <a14:useLocalDpi xmlns:a14="http://schemas.microsoft.com/office/drawing/2010/main" val="0"/>
            </a:ext>
          </a:extLst>
        </a:blip>
        <a:stretch>
          <a:fillRect/>
        </a:stretch>
      </xdr:blipFill>
      <xdr:spPr>
        <a:xfrm>
          <a:off x="280148" y="19475823"/>
          <a:ext cx="1536886" cy="52829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94"/>
  <sheetViews>
    <sheetView showGridLines="0" tabSelected="1" view="pageLayout" topLeftCell="A48" zoomScale="85" zoomScaleNormal="100" zoomScalePageLayoutView="85" workbookViewId="0">
      <selection activeCell="D83" sqref="D83"/>
    </sheetView>
  </sheetViews>
  <sheetFormatPr defaultColWidth="8.140625" defaultRowHeight="14.25" customHeight="1" x14ac:dyDescent="0.25"/>
  <cols>
    <col min="1" max="1" width="9.140625" style="1" customWidth="1"/>
    <col min="2" max="2" width="10.140625" style="1" customWidth="1"/>
    <col min="3" max="8" width="9.140625" style="1" customWidth="1"/>
    <col min="9" max="9" width="9.85546875" style="1" bestFit="1" customWidth="1"/>
    <col min="10" max="16" width="8.140625" style="1"/>
    <col min="17" max="17" width="10" style="1" bestFit="1" customWidth="1"/>
    <col min="18" max="16384" width="8.140625" style="1"/>
  </cols>
  <sheetData>
    <row r="1" spans="1:12" ht="86.25" customHeight="1" x14ac:dyDescent="0.25">
      <c r="A1" s="20" t="s">
        <v>26</v>
      </c>
      <c r="B1" s="21"/>
      <c r="C1" s="21"/>
      <c r="D1" s="21"/>
      <c r="E1" s="21"/>
      <c r="F1" s="21"/>
      <c r="G1" s="21"/>
      <c r="H1" s="21"/>
      <c r="I1" s="21"/>
      <c r="J1" s="21"/>
      <c r="K1" s="21"/>
      <c r="L1" s="21"/>
    </row>
    <row r="2" spans="1:12" ht="6" customHeight="1" x14ac:dyDescent="0.25">
      <c r="A2" s="2"/>
      <c r="B2" s="2"/>
      <c r="C2" s="2"/>
      <c r="D2" s="2"/>
      <c r="E2" s="2"/>
      <c r="F2" s="2"/>
      <c r="G2" s="2"/>
      <c r="H2" s="2"/>
      <c r="I2" s="2"/>
      <c r="J2" s="2"/>
      <c r="K2" s="2"/>
      <c r="L2" s="2"/>
    </row>
    <row r="3" spans="1:12" s="3" customFormat="1" ht="21.6" customHeight="1" x14ac:dyDescent="0.25">
      <c r="A3" s="22" t="s">
        <v>14</v>
      </c>
      <c r="B3" s="22"/>
      <c r="C3" s="22"/>
      <c r="D3" s="22"/>
      <c r="E3" s="22"/>
      <c r="F3" s="22"/>
      <c r="G3" s="22"/>
      <c r="H3" s="22"/>
      <c r="I3" s="22"/>
      <c r="J3" s="22"/>
      <c r="K3" s="22"/>
      <c r="L3" s="22"/>
    </row>
    <row r="4" spans="1:12" s="3" customFormat="1" ht="18" customHeight="1" x14ac:dyDescent="0.25">
      <c r="B4" s="7"/>
      <c r="C4" s="7"/>
      <c r="D4" s="7"/>
      <c r="E4" s="7"/>
      <c r="F4" s="7"/>
      <c r="G4" s="7"/>
      <c r="H4" s="7"/>
      <c r="I4" s="7"/>
      <c r="J4" s="7"/>
      <c r="K4" s="7"/>
      <c r="L4" s="7"/>
    </row>
    <row r="5" spans="1:12" s="3" customFormat="1" ht="18" customHeight="1" x14ac:dyDescent="0.25">
      <c r="A5" s="23" t="s">
        <v>33</v>
      </c>
      <c r="B5" s="23"/>
      <c r="C5" s="24" t="str">
        <f ca="1">ExtractCap(C11)&amp;"-"&amp;ExtractCap(C16)&amp;"-"&amp;RIGHT(C17,7)&amp;"-"&amp;TEXT(J5,"mmyyyy")</f>
        <v>ML-ICHROMA-G024352-February 29, 2024</v>
      </c>
      <c r="D5" s="24"/>
      <c r="E5" s="24"/>
      <c r="F5" s="24"/>
      <c r="G5" s="24"/>
      <c r="H5" s="24"/>
      <c r="I5" s="8" t="str">
        <f>IF(J5="", "Date:","")</f>
        <v/>
      </c>
      <c r="J5" s="25" t="s">
        <v>72</v>
      </c>
      <c r="K5" s="25"/>
      <c r="L5" s="25"/>
    </row>
    <row r="6" spans="1:12" s="3" customFormat="1" ht="18" customHeight="1" x14ac:dyDescent="0.25">
      <c r="A6" s="26" t="s">
        <v>27</v>
      </c>
      <c r="B6" s="26"/>
      <c r="C6" s="26"/>
      <c r="D6" s="26"/>
      <c r="E6" s="26"/>
      <c r="F6" s="26"/>
      <c r="G6" s="26"/>
      <c r="H6" s="26"/>
      <c r="I6" s="26"/>
      <c r="J6" s="26"/>
      <c r="K6" s="26"/>
      <c r="L6" s="26"/>
    </row>
    <row r="7" spans="1:12" s="3" customFormat="1" ht="18" customHeight="1" x14ac:dyDescent="0.25">
      <c r="A7" s="24" t="s">
        <v>18</v>
      </c>
      <c r="B7" s="24"/>
      <c r="C7" s="24" t="s">
        <v>24</v>
      </c>
      <c r="D7" s="24"/>
      <c r="E7" s="24"/>
      <c r="F7" s="24"/>
      <c r="G7" s="24"/>
      <c r="H7" s="24"/>
      <c r="I7" s="24"/>
      <c r="J7" s="24"/>
      <c r="K7" s="24"/>
      <c r="L7" s="24"/>
    </row>
    <row r="8" spans="1:12" s="3" customFormat="1" ht="18" customHeight="1" x14ac:dyDescent="0.25">
      <c r="A8" s="24" t="s">
        <v>7</v>
      </c>
      <c r="B8" s="24"/>
      <c r="C8" s="24" t="s">
        <v>39</v>
      </c>
      <c r="D8" s="24"/>
      <c r="E8" s="24"/>
      <c r="F8" s="24"/>
      <c r="G8" s="24"/>
      <c r="H8" s="24"/>
      <c r="I8" s="24"/>
      <c r="J8" s="24"/>
      <c r="K8" s="24"/>
      <c r="L8" s="24"/>
    </row>
    <row r="9" spans="1:12" s="3" customFormat="1" ht="18" customHeight="1" x14ac:dyDescent="0.25">
      <c r="A9" s="24" t="s">
        <v>8</v>
      </c>
      <c r="B9" s="24"/>
      <c r="C9" s="27" t="s">
        <v>19</v>
      </c>
      <c r="D9" s="27"/>
      <c r="E9" s="27"/>
      <c r="F9" s="27"/>
      <c r="G9" s="27"/>
      <c r="H9" s="27"/>
      <c r="I9" s="27"/>
      <c r="J9" s="27"/>
      <c r="K9" s="27"/>
      <c r="L9" s="27"/>
    </row>
    <row r="10" spans="1:12" s="3" customFormat="1" ht="18" customHeight="1" x14ac:dyDescent="0.25">
      <c r="A10" s="26" t="s">
        <v>28</v>
      </c>
      <c r="B10" s="26"/>
      <c r="C10" s="26"/>
      <c r="D10" s="26"/>
      <c r="E10" s="26"/>
      <c r="F10" s="26"/>
      <c r="G10" s="26"/>
      <c r="H10" s="26"/>
      <c r="I10" s="26"/>
      <c r="J10" s="26"/>
      <c r="K10" s="26"/>
      <c r="L10" s="26"/>
    </row>
    <row r="11" spans="1:12" s="3" customFormat="1" ht="18" customHeight="1" x14ac:dyDescent="0.25">
      <c r="A11" s="24" t="s">
        <v>18</v>
      </c>
      <c r="B11" s="24"/>
      <c r="C11" s="24" t="s">
        <v>48</v>
      </c>
      <c r="D11" s="24"/>
      <c r="E11" s="24"/>
      <c r="F11" s="24"/>
      <c r="G11" s="24"/>
      <c r="H11" s="24"/>
      <c r="I11" s="24"/>
      <c r="J11" s="24"/>
      <c r="K11" s="24"/>
      <c r="L11" s="24"/>
    </row>
    <row r="12" spans="1:12" s="3" customFormat="1" ht="18" customHeight="1" x14ac:dyDescent="0.25">
      <c r="A12" s="24" t="s">
        <v>7</v>
      </c>
      <c r="B12" s="24"/>
      <c r="C12" s="24" t="s">
        <v>49</v>
      </c>
      <c r="D12" s="24"/>
      <c r="E12" s="24"/>
      <c r="F12" s="24"/>
      <c r="G12" s="24"/>
      <c r="H12" s="24"/>
      <c r="I12" s="24"/>
      <c r="J12" s="24"/>
      <c r="K12" s="24"/>
      <c r="L12" s="24"/>
    </row>
    <row r="13" spans="1:12" s="3" customFormat="1" ht="18" customHeight="1" x14ac:dyDescent="0.25">
      <c r="A13" s="24" t="s">
        <v>8</v>
      </c>
      <c r="B13" s="24"/>
      <c r="C13" s="27" t="s">
        <v>50</v>
      </c>
      <c r="D13" s="27"/>
      <c r="E13" s="27"/>
      <c r="F13" s="27"/>
      <c r="G13" s="27"/>
      <c r="H13" s="27"/>
      <c r="I13" s="27"/>
      <c r="J13" s="27"/>
      <c r="K13" s="27"/>
      <c r="L13" s="27"/>
    </row>
    <row r="14" spans="1:12" s="3" customFormat="1" ht="18" customHeight="1" x14ac:dyDescent="0.25">
      <c r="A14" s="26" t="s">
        <v>1</v>
      </c>
      <c r="B14" s="26"/>
      <c r="C14" s="26"/>
      <c r="D14" s="26"/>
      <c r="E14" s="26"/>
      <c r="F14" s="26"/>
      <c r="G14" s="26"/>
      <c r="H14" s="26"/>
      <c r="I14" s="26"/>
      <c r="J14" s="26"/>
      <c r="K14" s="26"/>
      <c r="L14" s="26"/>
    </row>
    <row r="15" spans="1:12" s="3" customFormat="1" ht="18" customHeight="1" x14ac:dyDescent="0.25">
      <c r="A15" s="24" t="s">
        <v>1</v>
      </c>
      <c r="B15" s="24"/>
      <c r="C15" s="30" t="s">
        <v>51</v>
      </c>
      <c r="D15" s="30"/>
      <c r="E15" s="30"/>
      <c r="F15" s="30"/>
      <c r="G15" s="24" t="s">
        <v>16</v>
      </c>
      <c r="H15" s="24"/>
      <c r="I15" s="3" t="s">
        <v>55</v>
      </c>
    </row>
    <row r="16" spans="1:12" s="3" customFormat="1" ht="18" customHeight="1" x14ac:dyDescent="0.25">
      <c r="A16" s="24" t="s">
        <v>2</v>
      </c>
      <c r="B16" s="24"/>
      <c r="C16" s="30" t="s">
        <v>73</v>
      </c>
      <c r="D16" s="30"/>
      <c r="E16" s="30"/>
      <c r="F16" s="30"/>
      <c r="G16" s="24" t="s">
        <v>34</v>
      </c>
      <c r="H16" s="24"/>
      <c r="I16" s="24" t="s">
        <v>54</v>
      </c>
      <c r="J16" s="24"/>
      <c r="K16" s="24"/>
      <c r="L16" s="24"/>
    </row>
    <row r="17" spans="1:12" s="3" customFormat="1" ht="18" customHeight="1" x14ac:dyDescent="0.25">
      <c r="A17" s="24" t="s">
        <v>3</v>
      </c>
      <c r="B17" s="24"/>
      <c r="C17" s="30" t="s">
        <v>52</v>
      </c>
      <c r="D17" s="30"/>
      <c r="E17" s="30"/>
      <c r="F17" s="30"/>
      <c r="G17" s="24" t="s">
        <v>4</v>
      </c>
      <c r="H17" s="24"/>
      <c r="I17" s="24" t="s">
        <v>56</v>
      </c>
      <c r="J17" s="24"/>
      <c r="K17" s="24"/>
      <c r="L17" s="24"/>
    </row>
    <row r="18" spans="1:12" s="3" customFormat="1" ht="18" customHeight="1" x14ac:dyDescent="0.25">
      <c r="A18" s="24" t="s">
        <v>20</v>
      </c>
      <c r="B18" s="24"/>
      <c r="C18" s="27" t="s">
        <v>53</v>
      </c>
      <c r="D18" s="27"/>
      <c r="E18" s="27"/>
      <c r="F18" s="27"/>
      <c r="G18" s="24" t="s">
        <v>21</v>
      </c>
      <c r="H18" s="24"/>
      <c r="I18" s="24" t="s">
        <v>53</v>
      </c>
      <c r="J18" s="24"/>
      <c r="K18" s="24"/>
      <c r="L18" s="24"/>
    </row>
    <row r="19" spans="1:12" s="3" customFormat="1" ht="18" customHeight="1" x14ac:dyDescent="0.25">
      <c r="A19" s="26" t="s">
        <v>29</v>
      </c>
      <c r="B19" s="26"/>
      <c r="C19" s="26"/>
      <c r="D19" s="26"/>
      <c r="E19" s="26"/>
      <c r="F19" s="26"/>
      <c r="G19" s="26"/>
      <c r="H19" s="26"/>
      <c r="I19" s="26"/>
      <c r="J19" s="26"/>
      <c r="K19" s="26"/>
      <c r="L19" s="26"/>
    </row>
    <row r="20" spans="1:12" s="3" customFormat="1" ht="18" customHeight="1" x14ac:dyDescent="0.25">
      <c r="A20" s="6" t="s">
        <v>12</v>
      </c>
      <c r="B20" s="6"/>
      <c r="C20" s="28" t="s">
        <v>57</v>
      </c>
      <c r="D20" s="28"/>
      <c r="E20" s="28"/>
      <c r="F20" s="28"/>
      <c r="G20" s="6" t="s">
        <v>13</v>
      </c>
      <c r="H20" s="6"/>
      <c r="I20" s="29">
        <v>0.45</v>
      </c>
      <c r="J20" s="29"/>
      <c r="K20" s="29"/>
      <c r="L20" s="29"/>
    </row>
    <row r="21" spans="1:12" s="3" customFormat="1" ht="18" customHeight="1" x14ac:dyDescent="0.25">
      <c r="A21" s="24" t="s">
        <v>17</v>
      </c>
      <c r="B21" s="24"/>
      <c r="C21" s="30" t="s">
        <v>24</v>
      </c>
      <c r="D21" s="30"/>
      <c r="E21" s="30"/>
      <c r="F21" s="30"/>
      <c r="G21" s="30"/>
      <c r="H21" s="30"/>
      <c r="I21" s="30"/>
      <c r="J21" s="30"/>
      <c r="K21" s="30"/>
      <c r="L21" s="30"/>
    </row>
    <row r="22" spans="1:12" s="3" customFormat="1" ht="18" customHeight="1" x14ac:dyDescent="0.25">
      <c r="A22" s="26" t="s">
        <v>30</v>
      </c>
      <c r="B22" s="26"/>
      <c r="C22" s="26"/>
      <c r="D22" s="26"/>
      <c r="E22" s="26"/>
      <c r="F22" s="26"/>
      <c r="G22" s="26"/>
      <c r="H22" s="26"/>
      <c r="I22" s="26"/>
      <c r="J22" s="26"/>
      <c r="K22" s="26"/>
      <c r="L22" s="26"/>
    </row>
    <row r="23" spans="1:12" s="3" customFormat="1" ht="18" customHeight="1" x14ac:dyDescent="0.25">
      <c r="A23" s="24" t="s">
        <v>15</v>
      </c>
      <c r="B23" s="31"/>
      <c r="C23" s="24" t="s">
        <v>58</v>
      </c>
      <c r="D23" s="31"/>
      <c r="E23" s="31"/>
      <c r="F23" s="31"/>
      <c r="G23" s="31"/>
      <c r="H23" s="31"/>
      <c r="I23" s="31"/>
      <c r="J23" s="31"/>
      <c r="K23" s="31"/>
      <c r="L23" s="31"/>
    </row>
    <row r="24" spans="1:12" s="3" customFormat="1" ht="18" customHeight="1" x14ac:dyDescent="0.25">
      <c r="A24" s="24" t="s">
        <v>22</v>
      </c>
      <c r="B24" s="31"/>
      <c r="C24" s="24" t="s">
        <v>59</v>
      </c>
      <c r="D24" s="31"/>
      <c r="E24" s="31"/>
      <c r="F24" s="31"/>
      <c r="G24" s="31"/>
      <c r="H24" s="31"/>
      <c r="I24" s="31"/>
      <c r="J24" s="31"/>
      <c r="K24" s="31"/>
      <c r="L24" s="31"/>
    </row>
    <row r="25" spans="1:12" s="3" customFormat="1" ht="18" customHeight="1" x14ac:dyDescent="0.25">
      <c r="A25" s="24" t="s">
        <v>5</v>
      </c>
      <c r="B25" s="24"/>
      <c r="C25" s="32" t="s">
        <v>35</v>
      </c>
      <c r="D25" s="32"/>
      <c r="E25" s="32"/>
      <c r="F25" s="32"/>
      <c r="G25" s="19" t="s">
        <v>36</v>
      </c>
      <c r="H25" s="19"/>
      <c r="I25" s="19"/>
      <c r="J25" s="19" t="s">
        <v>37</v>
      </c>
      <c r="K25" s="19"/>
      <c r="L25" s="19"/>
    </row>
    <row r="26" spans="1:12" s="3" customFormat="1" ht="18" customHeight="1" x14ac:dyDescent="0.25">
      <c r="A26" s="24"/>
      <c r="B26" s="51"/>
      <c r="C26" s="33" t="s">
        <v>60</v>
      </c>
      <c r="D26" s="34"/>
      <c r="E26" s="34"/>
      <c r="F26" s="35"/>
      <c r="G26" s="36" t="s">
        <v>61</v>
      </c>
      <c r="H26" s="37"/>
      <c r="I26" s="38"/>
      <c r="J26" s="39">
        <v>45969</v>
      </c>
      <c r="K26" s="40"/>
      <c r="L26" s="41"/>
    </row>
    <row r="27" spans="1:12" s="3" customFormat="1" ht="18" customHeight="1" x14ac:dyDescent="0.25">
      <c r="A27" s="26" t="s">
        <v>31</v>
      </c>
      <c r="B27" s="26"/>
      <c r="C27" s="26"/>
      <c r="D27" s="26"/>
      <c r="E27" s="26"/>
      <c r="F27" s="26"/>
      <c r="G27" s="26"/>
      <c r="H27" s="26"/>
      <c r="I27" s="26"/>
      <c r="J27" s="26"/>
      <c r="K27" s="26"/>
      <c r="L27" s="26"/>
    </row>
    <row r="28" spans="1:12" s="3" customFormat="1" ht="18" customHeight="1" x14ac:dyDescent="0.25">
      <c r="A28" s="24" t="s">
        <v>9</v>
      </c>
      <c r="B28" s="24"/>
      <c r="C28" s="48" t="s">
        <v>62</v>
      </c>
      <c r="D28" s="48"/>
      <c r="E28" s="48"/>
      <c r="F28" s="48"/>
      <c r="G28" s="24" t="s">
        <v>10</v>
      </c>
      <c r="H28" s="24"/>
      <c r="I28" s="48" t="s">
        <v>63</v>
      </c>
      <c r="J28" s="48"/>
      <c r="K28" s="48"/>
      <c r="L28" s="48"/>
    </row>
    <row r="29" spans="1:12" s="3" customFormat="1" ht="18" customHeight="1" x14ac:dyDescent="0.25">
      <c r="A29" s="3" t="s">
        <v>23</v>
      </c>
      <c r="C29" s="24" t="s">
        <v>64</v>
      </c>
      <c r="D29" s="24"/>
      <c r="E29" s="24"/>
      <c r="F29" s="24"/>
      <c r="G29" s="24"/>
      <c r="H29" s="24"/>
      <c r="I29" s="24"/>
      <c r="J29" s="24"/>
      <c r="K29" s="24"/>
      <c r="L29" s="24"/>
    </row>
    <row r="30" spans="1:12" s="3" customFormat="1" ht="18" customHeight="1" x14ac:dyDescent="0.25">
      <c r="C30" s="49"/>
      <c r="D30" s="49"/>
      <c r="E30" s="49"/>
      <c r="F30" s="49"/>
      <c r="G30" s="49"/>
      <c r="H30" s="49"/>
      <c r="I30" s="49"/>
      <c r="J30" s="49"/>
      <c r="K30" s="49"/>
      <c r="L30" s="49"/>
    </row>
    <row r="31" spans="1:12" s="3" customFormat="1" ht="18" customHeight="1" x14ac:dyDescent="0.25">
      <c r="C31" s="49"/>
      <c r="D31" s="49"/>
      <c r="E31" s="49"/>
      <c r="F31" s="49"/>
      <c r="G31" s="49"/>
      <c r="H31" s="49"/>
      <c r="I31" s="49"/>
      <c r="J31" s="49"/>
      <c r="K31" s="49"/>
      <c r="L31" s="49"/>
    </row>
    <row r="32" spans="1:12" s="3" customFormat="1" ht="18" customHeight="1" x14ac:dyDescent="0.25">
      <c r="A32" s="45" t="s">
        <v>32</v>
      </c>
      <c r="B32" s="45"/>
      <c r="C32" s="45"/>
      <c r="D32" s="45"/>
      <c r="E32" s="45"/>
      <c r="F32" s="45"/>
      <c r="G32" s="45"/>
      <c r="H32" s="45"/>
      <c r="I32" s="45"/>
      <c r="J32" s="45"/>
      <c r="K32" s="45"/>
      <c r="L32" s="45"/>
    </row>
    <row r="33" spans="1:17" s="3" customFormat="1" ht="18" customHeight="1" x14ac:dyDescent="0.25">
      <c r="A33" s="45"/>
      <c r="B33" s="45"/>
      <c r="C33" s="45"/>
      <c r="D33" s="45"/>
      <c r="E33" s="45"/>
      <c r="F33" s="45"/>
      <c r="G33" s="45"/>
      <c r="H33" s="45"/>
      <c r="I33" s="45"/>
      <c r="J33" s="45"/>
      <c r="K33" s="45"/>
      <c r="L33" s="45"/>
    </row>
    <row r="34" spans="1:17" s="3" customFormat="1" ht="18" customHeight="1" x14ac:dyDescent="0.25">
      <c r="A34" s="45"/>
      <c r="B34" s="45"/>
      <c r="C34" s="45"/>
      <c r="D34" s="45"/>
      <c r="E34" s="45"/>
      <c r="F34" s="45"/>
      <c r="G34" s="45"/>
      <c r="H34" s="45"/>
      <c r="I34" s="45"/>
      <c r="J34" s="45"/>
      <c r="K34" s="45"/>
      <c r="L34" s="45"/>
    </row>
    <row r="35" spans="1:17" s="3" customFormat="1" ht="18" customHeight="1" x14ac:dyDescent="0.25">
      <c r="A35" s="45"/>
      <c r="B35" s="45"/>
      <c r="C35" s="45"/>
      <c r="D35" s="45"/>
      <c r="E35" s="45"/>
      <c r="F35" s="45"/>
      <c r="G35" s="45"/>
      <c r="H35" s="45"/>
      <c r="I35" s="45"/>
      <c r="J35" s="45"/>
      <c r="K35" s="45"/>
      <c r="L35" s="45"/>
      <c r="Q35" s="5"/>
    </row>
    <row r="36" spans="1:17" s="3" customFormat="1" ht="18" customHeight="1" x14ac:dyDescent="0.25">
      <c r="A36" s="9"/>
      <c r="B36" s="9"/>
      <c r="C36" s="9"/>
      <c r="D36" s="9"/>
      <c r="E36" s="9"/>
      <c r="F36" s="9"/>
      <c r="G36" s="9"/>
      <c r="H36" s="9"/>
      <c r="I36" s="9"/>
      <c r="J36" s="9"/>
      <c r="K36" s="9"/>
      <c r="L36" s="9"/>
    </row>
    <row r="37" spans="1:17" s="3" customFormat="1" ht="18" customHeight="1" x14ac:dyDescent="0.25">
      <c r="A37" s="3" t="s">
        <v>27</v>
      </c>
      <c r="I37" s="3" t="s">
        <v>0</v>
      </c>
    </row>
    <row r="38" spans="1:17" s="3" customFormat="1" ht="18" customHeight="1" x14ac:dyDescent="0.25"/>
    <row r="39" spans="1:17" s="3" customFormat="1" ht="18" customHeight="1" x14ac:dyDescent="0.25"/>
    <row r="40" spans="1:17" s="3" customFormat="1" ht="16.5" customHeight="1" x14ac:dyDescent="0.25"/>
    <row r="41" spans="1:17" s="3" customFormat="1" ht="16.5" customHeight="1" thickBot="1" x14ac:dyDescent="0.3">
      <c r="A41" s="46" t="s">
        <v>65</v>
      </c>
      <c r="B41" s="46"/>
      <c r="C41" s="46"/>
      <c r="I41" s="46" t="s">
        <v>74</v>
      </c>
      <c r="J41" s="46"/>
      <c r="K41" s="46"/>
      <c r="L41" s="46"/>
    </row>
    <row r="42" spans="1:17" s="3" customFormat="1" ht="16.5" customHeight="1" x14ac:dyDescent="0.25">
      <c r="A42" s="47" t="s">
        <v>6</v>
      </c>
      <c r="B42" s="47"/>
      <c r="C42" s="47"/>
      <c r="D42" s="4"/>
      <c r="E42" s="4"/>
      <c r="I42" s="47" t="s">
        <v>11</v>
      </c>
      <c r="J42" s="47"/>
      <c r="K42" s="47"/>
      <c r="L42" s="47"/>
    </row>
    <row r="43" spans="1:17" s="3" customFormat="1" ht="16.5" customHeight="1" x14ac:dyDescent="0.25">
      <c r="A43" s="10"/>
      <c r="B43" s="10"/>
      <c r="C43" s="10"/>
      <c r="D43" s="4"/>
      <c r="E43" s="4"/>
      <c r="I43" s="10"/>
      <c r="J43" s="10"/>
      <c r="K43" s="10"/>
      <c r="L43" s="10"/>
    </row>
    <row r="44" spans="1:17" s="3" customFormat="1" ht="16.5" customHeight="1" x14ac:dyDescent="0.25">
      <c r="A44" s="10"/>
      <c r="B44" s="10"/>
      <c r="C44" s="10"/>
      <c r="D44" s="4"/>
      <c r="E44" s="4"/>
      <c r="I44" s="10"/>
      <c r="J44" s="10"/>
      <c r="K44" s="10"/>
      <c r="L44" s="10"/>
    </row>
    <row r="45" spans="1:17" s="3" customFormat="1" ht="16.5" customHeight="1" x14ac:dyDescent="0.25">
      <c r="A45" s="10"/>
      <c r="B45" s="10"/>
      <c r="C45" s="10"/>
      <c r="D45" s="4"/>
      <c r="E45" s="4"/>
      <c r="I45" s="10"/>
      <c r="J45" s="10"/>
      <c r="K45" s="10"/>
      <c r="L45" s="10"/>
    </row>
    <row r="46" spans="1:17" s="3" customFormat="1" ht="16.5" customHeight="1" x14ac:dyDescent="0.25">
      <c r="A46" s="10"/>
      <c r="B46" s="10"/>
      <c r="C46" s="10"/>
      <c r="D46" s="4"/>
      <c r="E46" s="4"/>
      <c r="I46" s="10"/>
      <c r="J46" s="10"/>
      <c r="K46" s="10"/>
      <c r="L46" s="10"/>
    </row>
    <row r="47" spans="1:17" s="3" customFormat="1" ht="16.5" customHeight="1" x14ac:dyDescent="0.25">
      <c r="A47" s="50" t="s">
        <v>38</v>
      </c>
      <c r="B47" s="50"/>
      <c r="C47" s="50"/>
      <c r="D47" s="50"/>
      <c r="E47" s="50"/>
      <c r="F47" s="50"/>
      <c r="G47" s="50"/>
      <c r="H47" s="50"/>
      <c r="I47" s="50"/>
      <c r="J47" s="50"/>
      <c r="K47" s="50"/>
      <c r="L47" s="50"/>
    </row>
    <row r="48" spans="1:17" s="3" customFormat="1" ht="16.5" customHeight="1" x14ac:dyDescent="0.25">
      <c r="A48" s="44" t="str">
        <f ca="1">"Certificate Number: "&amp;C5</f>
        <v>Certificate Number: ML-ICHROMA-G024352-February 29, 2024</v>
      </c>
      <c r="B48" s="44"/>
      <c r="C48" s="44"/>
      <c r="D48" s="44"/>
      <c r="E48" s="44"/>
      <c r="F48" s="44"/>
      <c r="G48" s="44"/>
      <c r="H48" s="44"/>
      <c r="I48" s="44"/>
      <c r="J48" s="44"/>
      <c r="K48" s="44"/>
      <c r="L48" s="44"/>
    </row>
    <row r="49" spans="1:19" s="3" customFormat="1" ht="16.5" customHeight="1" x14ac:dyDescent="0.25">
      <c r="A49" s="25" t="str">
        <f>J5</f>
        <v>February 29, 2024</v>
      </c>
      <c r="B49" s="25"/>
      <c r="C49" s="25"/>
      <c r="D49" s="25"/>
      <c r="E49" s="25"/>
      <c r="F49" s="25"/>
      <c r="G49" s="25"/>
      <c r="H49" s="25"/>
      <c r="I49" s="25"/>
      <c r="J49" s="25"/>
      <c r="K49" s="25"/>
      <c r="L49" s="25"/>
    </row>
    <row r="50" spans="1:19" s="3" customFormat="1" ht="16.5" customHeight="1" x14ac:dyDescent="0.25">
      <c r="A50" s="42" t="s">
        <v>40</v>
      </c>
      <c r="B50" s="42"/>
      <c r="C50" s="42"/>
      <c r="D50" s="42"/>
      <c r="E50" s="42"/>
      <c r="F50" s="42"/>
      <c r="G50" s="42"/>
      <c r="H50" s="42"/>
      <c r="I50" s="42"/>
      <c r="J50" s="42"/>
      <c r="K50" s="42"/>
      <c r="L50" s="42"/>
    </row>
    <row r="51" spans="1:19" s="53" customFormat="1" ht="16.5" customHeight="1" x14ac:dyDescent="0.25">
      <c r="A51" s="56" t="s">
        <v>42</v>
      </c>
      <c r="B51" s="56"/>
      <c r="C51" s="52" t="s">
        <v>66</v>
      </c>
      <c r="D51" s="52"/>
      <c r="E51" s="52"/>
      <c r="F51" s="52"/>
      <c r="G51" s="52"/>
      <c r="H51" s="52"/>
      <c r="I51" s="52"/>
      <c r="J51" s="52"/>
      <c r="K51" s="52"/>
      <c r="L51" s="52"/>
    </row>
    <row r="52" spans="1:19" s="55" customFormat="1" ht="15" x14ac:dyDescent="0.25">
      <c r="A52" s="56" t="s">
        <v>43</v>
      </c>
      <c r="B52" s="56"/>
      <c r="C52" s="52" t="s">
        <v>67</v>
      </c>
      <c r="D52" s="52"/>
      <c r="E52" s="52"/>
      <c r="F52" s="52"/>
      <c r="G52" s="52"/>
      <c r="H52" s="52"/>
      <c r="I52" s="52"/>
      <c r="J52" s="52"/>
      <c r="K52" s="52"/>
      <c r="L52" s="52"/>
      <c r="M52" s="54"/>
      <c r="N52" s="54"/>
      <c r="O52" s="54"/>
      <c r="P52" s="54"/>
      <c r="Q52" s="54"/>
      <c r="R52" s="54"/>
      <c r="S52" s="54"/>
    </row>
    <row r="53" spans="1:19" s="55" customFormat="1" ht="15" x14ac:dyDescent="0.25">
      <c r="A53" s="56" t="s">
        <v>44</v>
      </c>
      <c r="B53" s="56"/>
      <c r="C53" s="52" t="s">
        <v>68</v>
      </c>
      <c r="D53" s="52"/>
      <c r="E53" s="52"/>
      <c r="F53" s="52"/>
      <c r="G53" s="52"/>
      <c r="H53" s="52"/>
      <c r="I53" s="52"/>
      <c r="J53" s="52"/>
      <c r="K53" s="52"/>
      <c r="L53" s="52"/>
      <c r="M53" s="54"/>
      <c r="N53" s="54"/>
      <c r="O53" s="54"/>
      <c r="P53" s="54"/>
      <c r="Q53" s="54"/>
      <c r="R53" s="54"/>
      <c r="S53" s="54"/>
    </row>
    <row r="54" spans="1:19" s="55" customFormat="1" ht="15.75" customHeight="1" x14ac:dyDescent="0.25">
      <c r="A54" s="56" t="s">
        <v>45</v>
      </c>
      <c r="B54" s="56"/>
      <c r="C54" s="52" t="s">
        <v>69</v>
      </c>
      <c r="D54" s="52"/>
      <c r="E54" s="52"/>
      <c r="F54" s="52"/>
      <c r="G54" s="52"/>
      <c r="H54" s="52"/>
      <c r="I54" s="52"/>
      <c r="J54" s="52"/>
      <c r="K54" s="52"/>
      <c r="L54" s="52"/>
      <c r="M54" s="54"/>
      <c r="N54" s="54"/>
      <c r="O54" s="54"/>
      <c r="P54" s="54"/>
      <c r="Q54" s="54"/>
      <c r="R54" s="54"/>
      <c r="S54" s="54"/>
    </row>
    <row r="55" spans="1:19" customFormat="1" ht="15.75" customHeight="1" x14ac:dyDescent="0.25">
      <c r="A55" s="11"/>
      <c r="B55" s="57"/>
      <c r="C55" s="14"/>
      <c r="D55" s="14"/>
      <c r="E55" s="14"/>
      <c r="F55" s="14"/>
      <c r="G55" s="14"/>
      <c r="H55" s="14"/>
      <c r="I55" s="17"/>
      <c r="J55" s="17"/>
      <c r="K55" s="17"/>
      <c r="L55" s="16"/>
      <c r="M55" s="13"/>
      <c r="N55" s="13"/>
      <c r="O55" s="13"/>
      <c r="P55" s="13"/>
      <c r="Q55" s="13"/>
      <c r="R55" s="13"/>
      <c r="S55" s="13"/>
    </row>
    <row r="56" spans="1:19" customFormat="1" ht="15.75" customHeight="1" x14ac:dyDescent="0.25">
      <c r="A56" s="42" t="s">
        <v>41</v>
      </c>
      <c r="B56" s="42"/>
      <c r="C56" s="42"/>
      <c r="D56" s="42"/>
      <c r="E56" s="42"/>
      <c r="F56" s="42"/>
      <c r="G56" s="42"/>
      <c r="H56" s="42"/>
      <c r="I56" s="42"/>
      <c r="J56" s="42"/>
      <c r="K56" s="42"/>
      <c r="L56" s="42"/>
      <c r="M56" s="13"/>
      <c r="N56" s="13"/>
      <c r="O56" s="13"/>
      <c r="P56" s="13"/>
      <c r="Q56" s="13"/>
      <c r="R56" s="13"/>
      <c r="S56" s="13"/>
    </row>
    <row r="57" spans="1:19" s="3" customFormat="1" ht="16.5" customHeight="1" x14ac:dyDescent="0.25">
      <c r="A57" s="24" t="s">
        <v>46</v>
      </c>
      <c r="B57" s="24"/>
      <c r="C57" s="18" t="s">
        <v>61</v>
      </c>
    </row>
    <row r="58" spans="1:19" s="3" customFormat="1" ht="16.5" customHeight="1" x14ac:dyDescent="0.25">
      <c r="A58" s="24" t="s">
        <v>47</v>
      </c>
      <c r="B58" s="24"/>
      <c r="C58" s="58" t="s">
        <v>70</v>
      </c>
    </row>
    <row r="59" spans="1:19" s="3" customFormat="1" ht="16.5" customHeight="1" x14ac:dyDescent="0.25"/>
    <row r="60" spans="1:19" customFormat="1" ht="15.75" customHeight="1" x14ac:dyDescent="0.25">
      <c r="A60" s="11"/>
      <c r="B60" s="14"/>
      <c r="C60" s="14"/>
      <c r="D60" s="14"/>
      <c r="E60" s="14"/>
      <c r="F60" s="14"/>
      <c r="G60" s="14"/>
      <c r="H60" s="14"/>
      <c r="I60" s="15"/>
      <c r="J60" s="15"/>
      <c r="K60" s="15"/>
      <c r="L60" s="12"/>
      <c r="M60" s="13"/>
      <c r="N60" s="13"/>
      <c r="O60" s="13"/>
      <c r="P60" s="13"/>
      <c r="Q60" s="13"/>
      <c r="R60" s="13"/>
      <c r="S60" s="13"/>
    </row>
    <row r="61" spans="1:19" s="3" customFormat="1" ht="16.5" customHeight="1" x14ac:dyDescent="0.25">
      <c r="A61" s="42" t="s">
        <v>25</v>
      </c>
      <c r="B61" s="42"/>
      <c r="C61" s="42"/>
      <c r="D61" s="42"/>
      <c r="E61" s="42"/>
      <c r="F61" s="42"/>
      <c r="G61" s="42"/>
      <c r="H61" s="42"/>
      <c r="I61" s="42"/>
      <c r="J61" s="42"/>
      <c r="K61" s="42"/>
      <c r="L61" s="42"/>
    </row>
    <row r="62" spans="1:19" s="3" customFormat="1" ht="16.5" customHeight="1" x14ac:dyDescent="0.25">
      <c r="A62" s="43" t="s">
        <v>71</v>
      </c>
      <c r="B62" s="43"/>
      <c r="C62" s="43"/>
      <c r="D62" s="43"/>
      <c r="E62" s="43"/>
      <c r="F62" s="43"/>
      <c r="G62" s="43"/>
      <c r="H62" s="43"/>
      <c r="I62" s="43"/>
      <c r="J62" s="43"/>
      <c r="K62" s="43"/>
      <c r="L62" s="43"/>
    </row>
    <row r="63" spans="1:19" s="3" customFormat="1" ht="16.5" customHeight="1" x14ac:dyDescent="0.25">
      <c r="A63" s="43"/>
      <c r="B63" s="43"/>
      <c r="C63" s="43"/>
      <c r="D63" s="43"/>
      <c r="E63" s="43"/>
      <c r="F63" s="43"/>
      <c r="G63" s="43"/>
      <c r="H63" s="43"/>
      <c r="I63" s="43"/>
      <c r="J63" s="43"/>
      <c r="K63" s="43"/>
      <c r="L63" s="43"/>
    </row>
    <row r="64" spans="1:19" s="3" customFormat="1" ht="16.5" customHeight="1" x14ac:dyDescent="0.25">
      <c r="A64" s="43"/>
      <c r="B64" s="43"/>
      <c r="C64" s="43"/>
      <c r="D64" s="43"/>
      <c r="E64" s="43"/>
      <c r="F64" s="43"/>
      <c r="G64" s="43"/>
      <c r="H64" s="43"/>
      <c r="I64" s="43"/>
      <c r="J64" s="43"/>
      <c r="K64" s="43"/>
      <c r="L64" s="43"/>
    </row>
    <row r="65" spans="1:12" s="3" customFormat="1" ht="16.5" customHeight="1" x14ac:dyDescent="0.25">
      <c r="A65" s="43"/>
      <c r="B65" s="43"/>
      <c r="C65" s="43"/>
      <c r="D65" s="43"/>
      <c r="E65" s="43"/>
      <c r="F65" s="43"/>
      <c r="G65" s="43"/>
      <c r="H65" s="43"/>
      <c r="I65" s="43"/>
      <c r="J65" s="43"/>
      <c r="K65" s="43"/>
      <c r="L65" s="43"/>
    </row>
    <row r="66" spans="1:12" s="3" customFormat="1" ht="18" customHeight="1" x14ac:dyDescent="0.25"/>
    <row r="67" spans="1:12" s="3" customFormat="1" ht="14.25" customHeight="1" x14ac:dyDescent="0.25"/>
    <row r="68" spans="1:12" s="3" customFormat="1" ht="14.25" customHeight="1" x14ac:dyDescent="0.25"/>
    <row r="69" spans="1:12" s="3" customFormat="1" ht="14.25" customHeight="1" x14ac:dyDescent="0.25"/>
    <row r="70" spans="1:12" s="3" customFormat="1" ht="14.25" customHeight="1" x14ac:dyDescent="0.25"/>
    <row r="71" spans="1:12" s="3" customFormat="1" ht="14.25" customHeight="1" x14ac:dyDescent="0.25"/>
    <row r="72" spans="1:12" s="3" customFormat="1" ht="14.25" customHeight="1" x14ac:dyDescent="0.25"/>
    <row r="83" spans="1:12" s="3" customFormat="1" ht="14.25" customHeight="1" x14ac:dyDescent="0.25"/>
    <row r="84" spans="1:12" s="3" customFormat="1" ht="14.25" customHeight="1" x14ac:dyDescent="0.25"/>
    <row r="85" spans="1:12" s="3" customFormat="1" ht="14.25" customHeight="1" x14ac:dyDescent="0.25"/>
    <row r="86" spans="1:12" s="3" customFormat="1" ht="14.25" customHeight="1" x14ac:dyDescent="0.25"/>
    <row r="87" spans="1:12" s="3" customFormat="1" ht="14.25" customHeight="1" x14ac:dyDescent="0.25"/>
    <row r="88" spans="1:12" s="3" customFormat="1" ht="16.5" customHeight="1" x14ac:dyDescent="0.25">
      <c r="A88" s="3" t="s">
        <v>27</v>
      </c>
      <c r="I88" s="3" t="s">
        <v>0</v>
      </c>
    </row>
    <row r="89" spans="1:12" s="3" customFormat="1" ht="16.5" customHeight="1" x14ac:dyDescent="0.25"/>
    <row r="90" spans="1:12" s="3" customFormat="1" ht="16.5" customHeight="1" x14ac:dyDescent="0.25"/>
    <row r="91" spans="1:12" s="3" customFormat="1" ht="16.5" customHeight="1" x14ac:dyDescent="0.25"/>
    <row r="92" spans="1:12" s="3" customFormat="1" ht="16.5" customHeight="1" thickBot="1" x14ac:dyDescent="0.3">
      <c r="A92" s="46" t="str">
        <f>A41</f>
        <v>Arvin O. Britos</v>
      </c>
      <c r="B92" s="46"/>
      <c r="C92" s="46"/>
      <c r="I92" s="46" t="s">
        <v>74</v>
      </c>
      <c r="J92" s="46"/>
      <c r="K92" s="46"/>
      <c r="L92" s="46"/>
    </row>
    <row r="93" spans="1:12" s="3" customFormat="1" ht="16.5" customHeight="1" x14ac:dyDescent="0.25">
      <c r="A93" s="47" t="s">
        <v>6</v>
      </c>
      <c r="B93" s="47"/>
      <c r="C93" s="47"/>
      <c r="D93" s="4"/>
      <c r="E93" s="4"/>
      <c r="I93" s="47" t="s">
        <v>11</v>
      </c>
      <c r="J93" s="47"/>
      <c r="K93" s="47"/>
      <c r="L93" s="47"/>
    </row>
    <row r="94" spans="1:12" s="3" customFormat="1" ht="14.25" customHeight="1" x14ac:dyDescent="0.25"/>
  </sheetData>
  <sheetProtection formatCells="0" formatColumns="0" formatRows="0" insertColumns="0" insertRows="0" insertHyperlinks="0" deleteColumns="0" deleteRows="0" selectLockedCells="1" sort="0" autoFilter="0" pivotTables="0"/>
  <mergeCells count="103">
    <mergeCell ref="A93:C93"/>
    <mergeCell ref="I93:L93"/>
    <mergeCell ref="A92:C92"/>
    <mergeCell ref="I92:L92"/>
    <mergeCell ref="C31:L31"/>
    <mergeCell ref="C30:L30"/>
    <mergeCell ref="A50:L50"/>
    <mergeCell ref="I42:L42"/>
    <mergeCell ref="A47:L47"/>
    <mergeCell ref="A51:B51"/>
    <mergeCell ref="C51:D51"/>
    <mergeCell ref="E51:F51"/>
    <mergeCell ref="I51:J51"/>
    <mergeCell ref="K51:L51"/>
    <mergeCell ref="A52:B52"/>
    <mergeCell ref="C52:D52"/>
    <mergeCell ref="E52:F52"/>
    <mergeCell ref="G52:H52"/>
    <mergeCell ref="I52:J52"/>
    <mergeCell ref="K52:L52"/>
    <mergeCell ref="A58:B58"/>
    <mergeCell ref="A57:B57"/>
    <mergeCell ref="A56:L56"/>
    <mergeCell ref="K53:L53"/>
    <mergeCell ref="C29:L29"/>
    <mergeCell ref="A28:B28"/>
    <mergeCell ref="C28:F28"/>
    <mergeCell ref="G28:H28"/>
    <mergeCell ref="I28:L28"/>
    <mergeCell ref="A27:L27"/>
    <mergeCell ref="J26:L26"/>
    <mergeCell ref="G26:I26"/>
    <mergeCell ref="C26:F26"/>
    <mergeCell ref="A26:B26"/>
    <mergeCell ref="A61:L61"/>
    <mergeCell ref="A62:L65"/>
    <mergeCell ref="A48:L48"/>
    <mergeCell ref="A49:L49"/>
    <mergeCell ref="A32:L35"/>
    <mergeCell ref="A41:C41"/>
    <mergeCell ref="I41:L41"/>
    <mergeCell ref="A42:C42"/>
    <mergeCell ref="G51:H51"/>
    <mergeCell ref="A22:L22"/>
    <mergeCell ref="A17:B17"/>
    <mergeCell ref="C17:F17"/>
    <mergeCell ref="G17:H17"/>
    <mergeCell ref="I17:L17"/>
    <mergeCell ref="A18:B18"/>
    <mergeCell ref="C18:F18"/>
    <mergeCell ref="G18:H18"/>
    <mergeCell ref="A23:B23"/>
    <mergeCell ref="C23:L23"/>
    <mergeCell ref="A24:B24"/>
    <mergeCell ref="C24:L24"/>
    <mergeCell ref="C25:F25"/>
    <mergeCell ref="G25:I25"/>
    <mergeCell ref="J25:L25"/>
    <mergeCell ref="A25:B25"/>
    <mergeCell ref="I18:L18"/>
    <mergeCell ref="A19:L19"/>
    <mergeCell ref="C20:F20"/>
    <mergeCell ref="I20:L20"/>
    <mergeCell ref="A21:B21"/>
    <mergeCell ref="C21:L21"/>
    <mergeCell ref="A9:B9"/>
    <mergeCell ref="C9:L9"/>
    <mergeCell ref="A16:B16"/>
    <mergeCell ref="G16:H16"/>
    <mergeCell ref="C15:F15"/>
    <mergeCell ref="C16:F16"/>
    <mergeCell ref="A1:L1"/>
    <mergeCell ref="A3:L3"/>
    <mergeCell ref="A5:B5"/>
    <mergeCell ref="C5:H5"/>
    <mergeCell ref="J5:L5"/>
    <mergeCell ref="A6:L6"/>
    <mergeCell ref="A14:L14"/>
    <mergeCell ref="A15:B15"/>
    <mergeCell ref="G15:H15"/>
    <mergeCell ref="I16:L16"/>
    <mergeCell ref="A10:L10"/>
    <mergeCell ref="A11:B11"/>
    <mergeCell ref="C11:L11"/>
    <mergeCell ref="A12:B12"/>
    <mergeCell ref="C12:L12"/>
    <mergeCell ref="A13:B13"/>
    <mergeCell ref="C13:L13"/>
    <mergeCell ref="A7:B7"/>
    <mergeCell ref="C7:L7"/>
    <mergeCell ref="A8:B8"/>
    <mergeCell ref="C8:L8"/>
    <mergeCell ref="A54:B54"/>
    <mergeCell ref="C54:D54"/>
    <mergeCell ref="E54:F54"/>
    <mergeCell ref="G54:H54"/>
    <mergeCell ref="I54:J54"/>
    <mergeCell ref="K54:L54"/>
    <mergeCell ref="A53:B53"/>
    <mergeCell ref="C53:D53"/>
    <mergeCell ref="E53:F53"/>
    <mergeCell ref="G53:H53"/>
    <mergeCell ref="I53:J53"/>
  </mergeCells>
  <conditionalFormatting sqref="C5:H5 J5:L5 C11:L11 C15:F18 C20:F20 I20:L20 C21:L21 C29:L29 A62:L65 I16:L18">
    <cfRule type="containsBlanks" dxfId="7" priority="42">
      <formula>LEN(TRIM(A5))=0</formula>
    </cfRule>
  </conditionalFormatting>
  <conditionalFormatting sqref="I28:L28 C28:F28">
    <cfRule type="containsBlanks" dxfId="6" priority="39">
      <formula>LEN(TRIM(C28))=0</formula>
    </cfRule>
  </conditionalFormatting>
  <conditionalFormatting sqref="C26:L26">
    <cfRule type="containsBlanks" dxfId="5" priority="15">
      <formula>LEN(TRIM(C26))=0</formula>
    </cfRule>
  </conditionalFormatting>
  <conditionalFormatting sqref="C12:L13">
    <cfRule type="containsBlanks" dxfId="4" priority="8">
      <formula>LEN(TRIM(C12))=0</formula>
    </cfRule>
  </conditionalFormatting>
  <conditionalFormatting sqref="E53:J53">
    <cfRule type="cellIs" dxfId="3" priority="6" operator="greaterThan">
      <formula>4.1</formula>
    </cfRule>
    <cfRule type="cellIs" dxfId="2" priority="7" operator="lessThan">
      <formula>4.09</formula>
    </cfRule>
  </conditionalFormatting>
  <conditionalFormatting sqref="E52:J52 E54:J54">
    <cfRule type="cellIs" dxfId="1" priority="5" operator="notBetween">
      <formula>0.2</formula>
      <formula>0.8</formula>
    </cfRule>
  </conditionalFormatting>
  <conditionalFormatting sqref="C57:C58">
    <cfRule type="cellIs" dxfId="0" priority="1" operator="notEqual">
      <formula>0</formula>
    </cfRule>
  </conditionalFormatting>
  <printOptions horizontalCentered="1"/>
  <pageMargins left="0.25" right="0.25" top="0.25" bottom="0.5" header="0" footer="0.3"/>
  <pageSetup scale="91" fitToWidth="0" orientation="portrait" horizontalDpi="4294967293" r:id="rId1"/>
  <headerFooter differentFirst="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Blank Template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TechNoob</dc:creator>
  <cp:lastModifiedBy>acer</cp:lastModifiedBy>
  <cp:lastPrinted>2024-03-01T03:59:39Z</cp:lastPrinted>
  <dcterms:created xsi:type="dcterms:W3CDTF">2018-02-08T06:52:58Z</dcterms:created>
  <dcterms:modified xsi:type="dcterms:W3CDTF">2024-03-01T09:02:05Z</dcterms:modified>
</cp:coreProperties>
</file>